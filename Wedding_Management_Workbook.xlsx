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📖 Read Me" sheetId="2" state="visible" r:id="rId4"/>
    <sheet name="⚙️ Settings" sheetId="3" state="visible" r:id="rId5"/>
    <sheet name="ℹ️ Wedding Info" sheetId="4" state="visible" r:id="rId6"/>
    <sheet name="💰 Budget" sheetId="5" state="visible" r:id="rId7"/>
    <sheet name="🧾 Expenses" sheetId="6" state="visible" r:id="rId8"/>
    <sheet name="👨‍👩‍👧‍👦 Guests" sheetId="7" state="visible" r:id="rId9"/>
    <sheet name="🏪 Vendors" sheetId="8" state="visible" r:id="rId10"/>
    <sheet name="🛍️ Shopping" sheetId="9" state="visible" r:id="rId11"/>
    <sheet name="📦 Inventory" sheetId="10" state="visible" r:id="rId12"/>
    <sheet name="🏨 Stay Arrangement" sheetId="11" state="visible" r:id="rId13"/>
    <sheet name="✅ Tasks" sheetId="12" state="visible" r:id="rId14"/>
    <sheet name="📅 Timeline" sheetId="13" state="visible" r:id="rId15"/>
    <sheet name="📇 Contacts" sheetId="14" state="visible" r:id="rId16"/>
    <sheet name="📁 Documents" sheetId="15" state="visible" r:id="rId17"/>
    <sheet name="🔍 Search" sheetId="16" state="visible" r:id="rId18"/>
  </sheets>
  <definedNames>
    <definedName function="false" hidden="true" localSheetId="11" name="_xlnm._FilterDatabase" vbProcedure="false">'✅ Tasks'!$A$6:$H$56</definedName>
    <definedName function="false" hidden="true" localSheetId="10" name="_xlnm._FilterDatabase" vbProcedure="false">'🏨 Stay Arrangement'!$A$6:$E$46</definedName>
    <definedName function="false" hidden="true" localSheetId="7" name="_xlnm._FilterDatabase" vbProcedure="false">'🏪 Vendors'!$A$3:$K$43</definedName>
    <definedName function="false" hidden="true" localSheetId="6" name="_xlnm._FilterDatabase" vbProcedure="false">'👨‍👩‍👧‍👦 Guests'!$A$6:$K$66</definedName>
    <definedName function="false" hidden="true" localSheetId="4" name="_xlnm._FilterDatabase" vbProcedure="false">'💰 Budget'!$A$3:$F$15</definedName>
    <definedName function="false" hidden="true" localSheetId="14" name="_xlnm._FilterDatabase" vbProcedure="false">'📁 Documents'!$A$3:$F$43</definedName>
    <definedName function="false" hidden="true" localSheetId="12" name="_xlnm._FilterDatabase" vbProcedure="false">'📅 Timeline'!$A$3:$H$17</definedName>
    <definedName function="false" hidden="true" localSheetId="9" name="_xlnm._FilterDatabase" vbProcedure="false">'📦 Inventory'!$A$3:$F$43</definedName>
    <definedName function="false" hidden="true" localSheetId="5" name="_xlnm._FilterDatabase" vbProcedure="false">'🧾 Expenses'!$A$3:$I$63</definedName>
    <definedName function="false" hidden="true" localSheetId="8" name="_xlnm._FilterDatabase" vbProcedure="false">'🛍️ Shopping'!$A$6:$F$56</definedName>
    <definedName function="false" hidden="false" name="List_CallStatus" vbProcedure="false">'⚙️ Settings'!$G$2:$G$6</definedName>
    <definedName function="false" hidden="false" name="List_Categories" vbProcedure="false">'⚙️ Settings'!$B$2:$B$13</definedName>
    <definedName function="false" hidden="false" name="List_ConfirmationStatus" vbProcedure="false">'⚙️ Settings'!$H$2:$H$4</definedName>
    <definedName function="false" hidden="false" name="List_ContactType" vbProcedure="false">'⚙️ Settings'!$T$2:$T$9</definedName>
    <definedName function="false" hidden="false" name="List_DocumentCategory" vbProcedure="false">'⚙️ Settings'!$U$2:$U$8</definedName>
    <definedName function="false" hidden="false" name="List_ExpenseStatus" vbProcedure="false">'⚙️ Settings'!$D$2:$D$4</definedName>
    <definedName function="false" hidden="false" name="List_FamilyMembers" vbProcedure="false">'⚙️ Settings'!$A$2:$A$10</definedName>
    <definedName function="false" hidden="false" name="List_InventoryCategory" vbProcedure="false">'⚙️ Settings'!$L$2:$L$7</definedName>
    <definedName function="false" hidden="false" name="List_InventoryStatus" vbProcedure="false">'⚙️ Settings'!$N$2:$N$5</definedName>
    <definedName function="false" hidden="false" name="List_InvitationStatus" vbProcedure="false">'⚙️ Settings'!$F$2:$F$7</definedName>
    <definedName function="false" hidden="false" name="List_PaymentMode" vbProcedure="false">'⚙️ Settings'!$C$2:$C$6</definedName>
    <definedName function="false" hidden="false" name="List_Priority" vbProcedure="false">'⚙️ Settings'!$I$2:$I$9</definedName>
    <definedName function="false" hidden="false" name="List_ShoppingCategories" vbProcedure="false">'⚙️ Settings'!$J$2:$J$8</definedName>
    <definedName function="false" hidden="false" name="List_ShoppingStatus" vbProcedure="false">'⚙️ Settings'!$K$2:$K$7</definedName>
    <definedName function="false" hidden="false" name="List_TaskCategory" vbProcedure="false">'⚙️ Settings'!$O$2:$O$8</definedName>
    <definedName function="false" hidden="false" name="List_TaskPriority" vbProcedure="false">'⚙️ Settings'!$P$2:$P$4</definedName>
    <definedName function="false" hidden="false" name="List_TaskStatus" vbProcedure="false">'⚙️ Settings'!$Q$2:$Q$4</definedName>
    <definedName function="false" hidden="false" name="List_TimelineEvent" vbProcedure="false">'⚙️ Settings'!$R$2:$R$8</definedName>
    <definedName function="false" hidden="false" name="List_TimelineStatus" vbProcedure="false">'⚙️ Settings'!$S$2:$S$4</definedName>
    <definedName function="false" hidden="false" name="List_Unit" vbProcedure="false">'⚙️ Settings'!$M$2:$M$6</definedName>
    <definedName function="false" hidden="false" name="List_YesNo" vbProcedure="false">'⚙️ Settings'!$E$2:$E$3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<sst xmlns="http://schemas.openxmlformats.org/spreadsheetml/2006/main" count="462" uniqueCount="330">
  <si>
    <t xml:space="preserve">📊 Wedding Dashboard</t>
  </si>
  <si>
    <t xml:space="preserve">🏠 Dashboard</t>
  </si>
  <si>
    <t xml:space="preserve">👥 Guests</t>
  </si>
  <si>
    <t xml:space="preserve">💰 Budget</t>
  </si>
  <si>
    <t xml:space="preserve">🧾 Expenses</t>
  </si>
  <si>
    <t xml:space="preserve">🏪 Vendors</t>
  </si>
  <si>
    <t xml:space="preserve">🛍 Shopping</t>
  </si>
  <si>
    <t xml:space="preserve">📦 Inventory</t>
  </si>
  <si>
    <t xml:space="preserve">🚗 Stay</t>
  </si>
  <si>
    <t xml:space="preserve">✅ Tasks</t>
  </si>
  <si>
    <t xml:space="preserve">⏳ WEDDING COUNTDOWN</t>
  </si>
  <si>
    <t xml:space="preserve">📣 LATEST ANNOUNCEMENT</t>
  </si>
  <si>
    <t xml:space="preserve">🔑 Key Numbers</t>
  </si>
  <si>
    <t xml:space="preserve">💰 Total Budget</t>
  </si>
  <si>
    <t xml:space="preserve">🧾 Total Expenses</t>
  </si>
  <si>
    <t xml:space="preserve">💵 Remaining Budget</t>
  </si>
  <si>
    <t xml:space="preserve">📊 Budget Utilization</t>
  </si>
  <si>
    <t xml:space="preserve">🔢 Chart data (auto)</t>
  </si>
  <si>
    <t xml:space="preserve">Not Started</t>
  </si>
  <si>
    <t xml:space="preserve">In Progress</t>
  </si>
  <si>
    <t xml:space="preserve">👪 Total Families</t>
  </si>
  <si>
    <t xml:space="preserve">👥 Total Members</t>
  </si>
  <si>
    <t xml:space="preserve">✉️ Invitations Pending</t>
  </si>
  <si>
    <t xml:space="preserve">💒 Attending Wedding</t>
  </si>
  <si>
    <t xml:space="preserve">Completed</t>
  </si>
  <si>
    <t xml:space="preserve">Invited (Yes)</t>
  </si>
  <si>
    <t xml:space="preserve">⏳ Pending Tasks</t>
  </si>
  <si>
    <t xml:space="preserve">⚠️ Overdue Tasks</t>
  </si>
  <si>
    <t xml:space="preserve">✅ Task Progress</t>
  </si>
  <si>
    <t xml:space="preserve">🛍️ Shopping Progress</t>
  </si>
  <si>
    <t xml:space="preserve">Not Yet</t>
  </si>
  <si>
    <t xml:space="preserve">🏪 Vendor Payments Pending</t>
  </si>
  <si>
    <t xml:space="preserve">💳 Amount Pending</t>
  </si>
  <si>
    <t xml:space="preserve">📦 Inventory Short Items</t>
  </si>
  <si>
    <t xml:space="preserve">🏨 Stay Records</t>
  </si>
  <si>
    <t xml:space="preserve">📈 Visual Breakdown</t>
  </si>
  <si>
    <t xml:space="preserve">💍 Wedding Management Workbook — Phase 1</t>
  </si>
  <si>
    <t xml:space="preserve">What's in this file</t>
  </si>
  <si>
    <t xml:space="preserve">📊 Dashboard and 🔍 Search are both built. The full workbook is complete — every sheet from planning through the wedding day is live and interconnected.</t>
  </si>
  <si>
    <t xml:space="preserve">How to import into Google Sheets</t>
  </si>
  <si>
    <t xml:space="preserve">•  1. Open Google Drive → New → File upload → select this .xlsx file.</t>
  </si>
  <si>
    <t xml:space="preserve">•  2. Right-click the uploaded file → Open with → Google Sheets.</t>
  </si>
  <si>
    <t xml:space="preserve">•  3. Google Sheets converts it automatically — formulas, dropdowns, formatting, and frozen headers all carry over.</t>
  </si>
  <si>
    <t xml:space="preserve">•  4. File → Save as Google Sheets (or it auto-converts on first edit) so it becomes a native Sheet, not a synced Excel file.</t>
  </si>
  <si>
    <t xml:space="preserve">How to read the colors</t>
  </si>
  <si>
    <t xml:space="preserve">•  White cells with a border = type here. This is where you or your family enter data.</t>
  </si>
  <si>
    <t xml:space="preserve">•  Grey cells = formulas. Don't type into these — they calculate automatically from your data.</t>
  </si>
  <si>
    <t xml:space="preserve">•  Blue banner rows = section titles / navigation. Not editable.</t>
  </si>
  <si>
    <t xml:space="preserve">After importing — 2 quick Google Sheets-only steps</t>
  </si>
  <si>
    <t xml:space="preserve">•  1. Protect formula cells: select a grey formula range → Data → Protect sheets and ranges → set to 'Only me' (or add specific editors). This stops accidental overwrites.</t>
  </si>
  <si>
    <t xml:space="preserve">•  2. Checkboxes: columns marked TRUE/FALSE (like 'Gift Received' in Guest Management) can be converted to real tap-able checkboxes — select the column → Insert → Checkbox, or Data → Data validation → Checkbox.</t>
  </si>
  <si>
    <t xml:space="preserve">What's coming in later phases</t>
  </si>
  <si>
    <t xml:space="preserve">•  Phase 2 ✅ built: Guest Management, Vendor Management, Shopping Tracker</t>
  </si>
  <si>
    <t xml:space="preserve">•  Phase 3 ✅ built: Inventory, Stay Arrangement, Tasks, Timeline</t>
  </si>
  <si>
    <t xml:space="preserve">•  Phase 4 ✅ built: Contacts, Documents</t>
  </si>
  <si>
    <t xml:space="preserve">•  Phase 5: 📊 Dashboard and 🔍 Search (built last, since both pull from every other sheet)</t>
  </si>
  <si>
    <t xml:space="preserve">Family Members</t>
  </si>
  <si>
    <t xml:space="preserve">Wedding Categories</t>
  </si>
  <si>
    <t xml:space="preserve">Payment Mode</t>
  </si>
  <si>
    <t xml:space="preserve">Expense Status</t>
  </si>
  <si>
    <t xml:space="preserve">Yes / No</t>
  </si>
  <si>
    <t xml:space="preserve">Invitation Status</t>
  </si>
  <si>
    <t xml:space="preserve">Call Status</t>
  </si>
  <si>
    <t xml:space="preserve">Confirmation Status</t>
  </si>
  <si>
    <t xml:space="preserve">Priority</t>
  </si>
  <si>
    <t xml:space="preserve">Shopping Categories</t>
  </si>
  <si>
    <t xml:space="preserve">Shopping Status</t>
  </si>
  <si>
    <t xml:space="preserve">Inventory Category</t>
  </si>
  <si>
    <t xml:space="preserve">Unit</t>
  </si>
  <si>
    <t xml:space="preserve">Inventory Status</t>
  </si>
  <si>
    <t xml:space="preserve">Task Category</t>
  </si>
  <si>
    <t xml:space="preserve">Task Priority</t>
  </si>
  <si>
    <t xml:space="preserve">Task Status</t>
  </si>
  <si>
    <t xml:space="preserve">Timeline Event</t>
  </si>
  <si>
    <t xml:space="preserve">Timeline Status</t>
  </si>
  <si>
    <t xml:space="preserve">Contact Type</t>
  </si>
  <si>
    <t xml:space="preserve">Document Category</t>
  </si>
  <si>
    <t xml:space="preserve">Father</t>
  </si>
  <si>
    <t xml:space="preserve">Hall</t>
  </si>
  <si>
    <t xml:space="preserve">Cash</t>
  </si>
  <si>
    <t xml:space="preserve">Pending</t>
  </si>
  <si>
    <t xml:space="preserve">Yes</t>
  </si>
  <si>
    <t xml:space="preserve">Not Printed</t>
  </si>
  <si>
    <t xml:space="preserve">Not Called</t>
  </si>
  <si>
    <t xml:space="preserve">Confirmed</t>
  </si>
  <si>
    <t xml:space="preserve">VIP</t>
  </si>
  <si>
    <t xml:space="preserve">Groom Outfits</t>
  </si>
  <si>
    <t xml:space="preserve">Pooja Items</t>
  </si>
  <si>
    <t xml:space="preserve">Pieces</t>
  </si>
  <si>
    <t xml:space="preserve">Not Ordered</t>
  </si>
  <si>
    <t xml:space="preserve">Venue</t>
  </si>
  <si>
    <t xml:space="preserve">High</t>
  </si>
  <si>
    <t xml:space="preserve">Engagement</t>
  </si>
  <si>
    <t xml:space="preserve">Upcoming</t>
  </si>
  <si>
    <t xml:space="preserve">Family</t>
  </si>
  <si>
    <t xml:space="preserve">Bill</t>
  </si>
  <si>
    <t xml:space="preserve">Mother</t>
  </si>
  <si>
    <t xml:space="preserve">Decoration</t>
  </si>
  <si>
    <t xml:space="preserve">UPI</t>
  </si>
  <si>
    <t xml:space="preserve">Paid</t>
  </si>
  <si>
    <t xml:space="preserve">No</t>
  </si>
  <si>
    <t xml:space="preserve">Printed</t>
  </si>
  <si>
    <t xml:space="preserve">Calling Today</t>
  </si>
  <si>
    <t xml:space="preserve">Close Family</t>
  </si>
  <si>
    <t xml:space="preserve">Bride Outfits</t>
  </si>
  <si>
    <t xml:space="preserve">Ordered</t>
  </si>
  <si>
    <t xml:space="preserve">Kg</t>
  </si>
  <si>
    <t xml:space="preserve">Catering</t>
  </si>
  <si>
    <t xml:space="preserve">Medium</t>
  </si>
  <si>
    <t xml:space="preserve">Haldi</t>
  </si>
  <si>
    <t xml:space="preserve">Photographer</t>
  </si>
  <si>
    <t xml:space="preserve">Contract</t>
  </si>
  <si>
    <t xml:space="preserve">Brother</t>
  </si>
  <si>
    <t xml:space="preserve">Food</t>
  </si>
  <si>
    <t xml:space="preserve">Card</t>
  </si>
  <si>
    <t xml:space="preserve">Cancelled</t>
  </si>
  <si>
    <t xml:space="preserve">Given</t>
  </si>
  <si>
    <t xml:space="preserve">Called</t>
  </si>
  <si>
    <t xml:space="preserve">Not Coming</t>
  </si>
  <si>
    <t xml:space="preserve">Relatives</t>
  </si>
  <si>
    <t xml:space="preserve">Family Outfits</t>
  </si>
  <si>
    <t xml:space="preserve">Purchased</t>
  </si>
  <si>
    <t xml:space="preserve">Return Gifts</t>
  </si>
  <si>
    <t xml:space="preserve">Boxes</t>
  </si>
  <si>
    <t xml:space="preserve">In Hand</t>
  </si>
  <si>
    <t xml:space="preserve">Decor</t>
  </si>
  <si>
    <t xml:space="preserve">Low</t>
  </si>
  <si>
    <t xml:space="preserve">Mehendi</t>
  </si>
  <si>
    <t xml:space="preserve">Done</t>
  </si>
  <si>
    <t xml:space="preserve">Decorator</t>
  </si>
  <si>
    <t xml:space="preserve">Invitation Design</t>
  </si>
  <si>
    <t xml:space="preserve">Sister</t>
  </si>
  <si>
    <t xml:space="preserve">Photography</t>
  </si>
  <si>
    <t xml:space="preserve">Bank Transfer</t>
  </si>
  <si>
    <t xml:space="preserve">Courier</t>
  </si>
  <si>
    <t xml:space="preserve">No Response</t>
  </si>
  <si>
    <t xml:space="preserve">Friends</t>
  </si>
  <si>
    <t xml:space="preserve">Jewellery</t>
  </si>
  <si>
    <t xml:space="preserve">Delivered</t>
  </si>
  <si>
    <t xml:space="preserve">Printed Material</t>
  </si>
  <si>
    <t xml:space="preserve">Packets</t>
  </si>
  <si>
    <t xml:space="preserve">Distributed</t>
  </si>
  <si>
    <t xml:space="preserve">Guests</t>
  </si>
  <si>
    <t xml:space="preserve">Sangeet</t>
  </si>
  <si>
    <t xml:space="preserve">Caterer</t>
  </si>
  <si>
    <t xml:space="preserve">Receipt</t>
  </si>
  <si>
    <t xml:space="preserve">Uncle</t>
  </si>
  <si>
    <t xml:space="preserve">Invitation</t>
  </si>
  <si>
    <t xml:space="preserve">Cheque</t>
  </si>
  <si>
    <t xml:space="preserve">WhatsApp</t>
  </si>
  <si>
    <t xml:space="preserve">Declined</t>
  </si>
  <si>
    <t xml:space="preserve">Office</t>
  </si>
  <si>
    <t xml:space="preserve">Alteration Pending</t>
  </si>
  <si>
    <t xml:space="preserve">Consumables</t>
  </si>
  <si>
    <t xml:space="preserve">Dozens</t>
  </si>
  <si>
    <t xml:space="preserve">Shopping</t>
  </si>
  <si>
    <t xml:space="preserve">Wedding</t>
  </si>
  <si>
    <t xml:space="preserve">Hotel</t>
  </si>
  <si>
    <t xml:space="preserve">Important Document</t>
  </si>
  <si>
    <t xml:space="preserve">Aunt</t>
  </si>
  <si>
    <t xml:space="preserve">Received</t>
  </si>
  <si>
    <t xml:space="preserve">Village</t>
  </si>
  <si>
    <t xml:space="preserve">Home &amp; Setup</t>
  </si>
  <si>
    <t xml:space="preserve">Other</t>
  </si>
  <si>
    <t xml:space="preserve">Documentation</t>
  </si>
  <si>
    <t xml:space="preserve">Reception</t>
  </si>
  <si>
    <t xml:space="preserve">Transportation</t>
  </si>
  <si>
    <t xml:space="preserve">Photo</t>
  </si>
  <si>
    <t xml:space="preserve">Cousin</t>
  </si>
  <si>
    <t xml:space="preserve">Business</t>
  </si>
  <si>
    <t xml:space="preserve">Misc</t>
  </si>
  <si>
    <t xml:space="preserve">Custom</t>
  </si>
  <si>
    <t xml:space="preserve">Emergency</t>
  </si>
  <si>
    <t xml:space="preserve">Video</t>
  </si>
  <si>
    <t xml:space="preserve">Self</t>
  </si>
  <si>
    <t xml:space="preserve">Travel</t>
  </si>
  <si>
    <t xml:space="preserve">Others</t>
  </si>
  <si>
    <t xml:space="preserve">Other Vendor</t>
  </si>
  <si>
    <t xml:space="preserve">Accommodation</t>
  </si>
  <si>
    <t xml:space="preserve">Music</t>
  </si>
  <si>
    <t xml:space="preserve">Miscellaneous</t>
  </si>
  <si>
    <t xml:space="preserve">ℹ️ Wedding Information</t>
  </si>
  <si>
    <t xml:space="preserve">Core Details</t>
  </si>
  <si>
    <t xml:space="preserve">Bride Name</t>
  </si>
  <si>
    <t xml:space="preserve">Groom Name</t>
  </si>
  <si>
    <t xml:space="preserve">Wedding Date</t>
  </si>
  <si>
    <t xml:space="preserve">Reception Date</t>
  </si>
  <si>
    <t xml:space="preserve">Address</t>
  </si>
  <si>
    <t xml:space="preserve">Emergency Contacts</t>
  </si>
  <si>
    <t xml:space="preserve">Name</t>
  </si>
  <si>
    <t xml:space="preserve">Relation</t>
  </si>
  <si>
    <t xml:space="preserve">Phone</t>
  </si>
  <si>
    <t xml:space="preserve">Notes</t>
  </si>
  <si>
    <t xml:space="preserve">Suresh Kumar</t>
  </si>
  <si>
    <t xml:space="preserve">+91 98765 43210</t>
  </si>
  <si>
    <t xml:space="preserve">Primary contact</t>
  </si>
  <si>
    <t xml:space="preserve">Important Phone Numbers</t>
  </si>
  <si>
    <t xml:space="preserve">Name / Purpose</t>
  </si>
  <si>
    <t xml:space="preserve">Caterer — Ramesh Catering</t>
  </si>
  <si>
    <t xml:space="preserve">+91 90000 11122</t>
  </si>
  <si>
    <t xml:space="preserve">Confirm final count 1 week prior</t>
  </si>
  <si>
    <t xml:space="preserve">📣 Announcements  (feeds Dashboard 'Latest Announcements' — Phase 5)</t>
  </si>
  <si>
    <t xml:space="preserve">Date</t>
  </si>
  <si>
    <t xml:space="preserve">Announcement</t>
  </si>
  <si>
    <t xml:space="preserve">Posted By</t>
  </si>
  <si>
    <t xml:space="preserve">Caterer tasting moved to Friday 6pm</t>
  </si>
  <si>
    <t xml:space="preserve">Rohan</t>
  </si>
  <si>
    <t xml:space="preserve">💰 Budget Planning</t>
  </si>
  <si>
    <t xml:space="preserve">Category</t>
  </si>
  <si>
    <t xml:space="preserve">Estimated Budget (₹)</t>
  </si>
  <si>
    <t xml:space="preserve">Actual Expense (₹)</t>
  </si>
  <si>
    <t xml:space="preserve">Difference (₹)</t>
  </si>
  <si>
    <t xml:space="preserve">Status</t>
  </si>
  <si>
    <t xml:space="preserve">% Used</t>
  </si>
  <si>
    <t xml:space="preserve">TOTAL</t>
  </si>
  <si>
    <t xml:space="preserve">Note: 'Actual Expense' pulls automatically from the Expenses sheet by Category. Only edit the white 'Estimated Budget' column here.</t>
  </si>
  <si>
    <t xml:space="preserve">🧾 Expense Tracker</t>
  </si>
  <si>
    <t xml:space="preserve">Expense ID</t>
  </si>
  <si>
    <t xml:space="preserve">Description</t>
  </si>
  <si>
    <t xml:space="preserve">Vendor</t>
  </si>
  <si>
    <t xml:space="preserve">Amount (₹)</t>
  </si>
  <si>
    <t xml:space="preserve">Paid By</t>
  </si>
  <si>
    <t xml:space="preserve">Booking advance — Grand Palace Banquets</t>
  </si>
  <si>
    <t xml:space="preserve">Grand Palace Banquets</t>
  </si>
  <si>
    <t xml:space="preserve">Advance receipt in Documents folder</t>
  </si>
  <si>
    <t xml:space="preserve">Expense ID fills in automatically the moment you enter anything in that row — no typing needed. Vendor is free text for now — it becomes a dropdown once Vendor Management (Phase 2) is built.</t>
  </si>
  <si>
    <t xml:space="preserve">👨‍👩‍👧‍👦 Guest Management  (family-wise)</t>
  </si>
  <si>
    <t xml:space="preserve">📊 Quick Stats (auto-calculated)</t>
  </si>
  <si>
    <t xml:space="preserve">Total Families</t>
  </si>
  <si>
    <t xml:space="preserve">Total Members</t>
  </si>
  <si>
    <t xml:space="preserve">Invitations Pending</t>
  </si>
  <si>
    <t xml:space="preserve">Attending Wedding</t>
  </si>
  <si>
    <t xml:space="preserve">Family ID</t>
  </si>
  <si>
    <t xml:space="preserve">Family Name / Guest Name</t>
  </si>
  <si>
    <t xml:space="preserve">Village/City</t>
  </si>
  <si>
    <t xml:space="preserve">Phone Number</t>
  </si>
  <si>
    <t xml:space="preserve">WhatsApp Number</t>
  </si>
  <si>
    <t xml:space="preserve">Sharma Family</t>
  </si>
  <si>
    <t xml:space="preserve">Pune</t>
  </si>
  <si>
    <t xml:space="preserve">+91 98765 11111</t>
  </si>
  <si>
    <t xml:space="preserve">Confirmed via WhatsApp with uncle</t>
  </si>
  <si>
    <t xml:space="preserve">Family ID fills in automatically once you type a Family Name. Engagement/Haldi/Wedding are checkboxes — tick as many as apply per family. Rows tint amber while Invitation Status is 'No' and green once it's 'Yes'.</t>
  </si>
  <si>
    <t xml:space="preserve">🏪 Vendor Management</t>
  </si>
  <si>
    <t xml:space="preserve">Vendor Name</t>
  </si>
  <si>
    <t xml:space="preserve">Handled By</t>
  </si>
  <si>
    <t xml:space="preserve">Alternate Phone</t>
  </si>
  <si>
    <t xml:space="preserve">Total Amount (₹)</t>
  </si>
  <si>
    <t xml:space="preserve">Advance Paid (₹)</t>
  </si>
  <si>
    <t xml:space="preserve">Remaining Amount (₹)</t>
  </si>
  <si>
    <t xml:space="preserve">+91 90000 22233</t>
  </si>
  <si>
    <t xml:space="preserve">123 MG Road, Pune</t>
  </si>
  <si>
    <t xml:space="preserve">Includes decoration for mandap</t>
  </si>
  <si>
    <t xml:space="preserve">Remaining Amount and Status calculate automatically — only edit the white cells. This sheet also feeds the Vendor dropdown on the Expenses sheet.</t>
  </si>
  <si>
    <t xml:space="preserve">🛍️ Shopping Tracker</t>
  </si>
  <si>
    <t xml:space="preserve">Shopping Progress</t>
  </si>
  <si>
    <t xml:space="preserve">Remaining Items</t>
  </si>
  <si>
    <t xml:space="preserve">Total Shopping Cost (₹)</t>
  </si>
  <si>
    <t xml:space="preserve">Item</t>
  </si>
  <si>
    <t xml:space="preserve">Responsible Person</t>
  </si>
  <si>
    <t xml:space="preserve">Actual Cost (₹)</t>
  </si>
  <si>
    <t xml:space="preserve">Groom Sherwani</t>
  </si>
  <si>
    <t xml:space="preserve">Fitting scheduled next week</t>
  </si>
  <si>
    <t xml:space="preserve">Status color-codes automatically as items move through their stages. 'Total Shopping Cost' sums Actual Cost — add both bride and groom items here using the Category dropdown.</t>
  </si>
  <si>
    <t xml:space="preserve">Required Qty</t>
  </si>
  <si>
    <t xml:space="preserve">Available Qty</t>
  </si>
  <si>
    <t xml:space="preserve">Invitation Cards</t>
  </si>
  <si>
    <t xml:space="preserve">Confirmed with gift vendor</t>
  </si>
  <si>
    <t xml:space="preserve">Flowers</t>
  </si>
  <si>
    <t xml:space="preserve">Garlands</t>
  </si>
  <si>
    <t xml:space="preserve">Coconut</t>
  </si>
  <si>
    <t xml:space="preserve">Rice</t>
  </si>
  <si>
    <t xml:space="preserve">Pooja Material</t>
  </si>
  <si>
    <t xml:space="preserve">Water Bottles</t>
  </si>
  <si>
    <t xml:space="preserve">Decoration Items</t>
  </si>
  <si>
    <t xml:space="preserve">Column A is pre-filled with common items as a starting point — overwrite or add your own freely. Available Qty highlights red automatically whenever it's short of Required Qty.</t>
  </si>
  <si>
    <t xml:space="preserve">🏨 Stay Arrangement</t>
  </si>
  <si>
    <t xml:space="preserve">Total Families (Guest List)</t>
  </si>
  <si>
    <t xml:space="preserve">Stay Records Added</t>
  </si>
  <si>
    <t xml:space="preserve">Villa</t>
  </si>
  <si>
    <t xml:space="preserve">Hotel Sunview</t>
  </si>
  <si>
    <t xml:space="preserve">45 Lakeside Road, Pune</t>
  </si>
  <si>
    <t xml:space="preserve">Arriving 2 days early, needs early check-in</t>
  </si>
  <si>
    <t xml:space="preserve">'Family Name / Guest Name' dropdown pulls directly from Guest Management. Only add a row here for families who actually need accommodation arranged.</t>
  </si>
  <si>
    <t xml:space="preserve">✅ Task Tracker</t>
  </si>
  <si>
    <t xml:space="preserve">Pending Tasks</t>
  </si>
  <si>
    <t xml:space="preserve">Completed Tasks</t>
  </si>
  <si>
    <t xml:space="preserve">Overdue Tasks</t>
  </si>
  <si>
    <t xml:space="preserve">Overall Progress</t>
  </si>
  <si>
    <t xml:space="preserve">Task</t>
  </si>
  <si>
    <t xml:space="preserve">Assigned To</t>
  </si>
  <si>
    <t xml:space="preserve">Start Date</t>
  </si>
  <si>
    <t xml:space="preserve">Due Date</t>
  </si>
  <si>
    <t xml:space="preserve">Comments</t>
  </si>
  <si>
    <t xml:space="preserve">Finalize catering menu</t>
  </si>
  <si>
    <t xml:space="preserve">Tasting scheduled with 2 caterers</t>
  </si>
  <si>
    <t xml:space="preserve">A Due Date turns red automatically once it's passed and Status isn't 'Completed' — that's what powers the Overdue Tasks count above.</t>
  </si>
  <si>
    <t xml:space="preserve">📅 Wedding Timeline</t>
  </si>
  <si>
    <t xml:space="preserve">Event</t>
  </si>
  <si>
    <t xml:space="preserve">Time</t>
  </si>
  <si>
    <t xml:space="preserve">Checklist</t>
  </si>
  <si>
    <t xml:space="preserve">Sharma Residence, Pune</t>
  </si>
  <si>
    <t xml:space="preserve">Book priest, arrange sweets</t>
  </si>
  <si>
    <t xml:space="preserve">The 6 standard function rows are pre-filled to save typing — edit dates/venues freely, delete any that don't apply, or use 'Custom' for anything extra (Griha Pravesh, pre-wedding shoot, etc.).</t>
  </si>
  <si>
    <t xml:space="preserve">📇 Contact Directory</t>
  </si>
  <si>
    <t xml:space="preserve">👪 Family &amp; Emergency Contacts  (auto-synced from ℹ️ Wedding Info — edit them there)</t>
  </si>
  <si>
    <t xml:space="preserve">Type</t>
  </si>
  <si>
    <t xml:space="preserve">🏪 Vendor Contacts  (auto-synced from 🏪 Vendors — edit them there)</t>
  </si>
  <si>
    <t xml:space="preserve">✍️ Additional Contacts  (manual entry — hotels, transport, etc. not already in Vendors)</t>
  </si>
  <si>
    <t xml:space="preserve">Hotel Sunview — Front Desk</t>
  </si>
  <si>
    <t xml:space="preserve">+91 90222 33445</t>
  </si>
  <si>
    <t xml:space="preserve">Block booking for out-of-town guests</t>
  </si>
  <si>
    <t xml:space="preserve">The first two sections are read-only formulas synced from Wedding Info and Vendors — to change them, edit the source sheet, not here. Only the 'Additional Contacts' section at the bottom is directly editable.</t>
  </si>
  <si>
    <t xml:space="preserve">📁 Documents</t>
  </si>
  <si>
    <t xml:space="preserve">Document Name</t>
  </si>
  <si>
    <t xml:space="preserve">Related To</t>
  </si>
  <si>
    <t xml:space="preserve">Google Drive Link</t>
  </si>
  <si>
    <t xml:space="preserve">Uploaded By</t>
  </si>
  <si>
    <t xml:space="preserve">Date Added</t>
  </si>
  <si>
    <t xml:space="preserve">Grand Palace Banquets — Signed Contract</t>
  </si>
  <si>
    <t xml:space="preserve">https://drive.google.com/...</t>
  </si>
  <si>
    <t xml:space="preserve">'Related To' is free text — type a vendor name (to match Vendor Management) or 'General'. Paste any Google Drive share link directly into the Link column; Google Sheets auto-detects and makes it clickable.</t>
  </si>
  <si>
    <t xml:space="preserve">🔍 Search</t>
  </si>
  <si>
    <t xml:space="preserve">Search anything:</t>
  </si>
  <si>
    <t xml:space="preserve">Type a name, phone number, item, or keyword above — matching rows appear below automatically. Leave it blank to preview the first few rows of each list.</t>
  </si>
  <si>
    <t xml:space="preserve">👪 Matching Families</t>
  </si>
  <si>
    <t xml:space="preserve">Family Name</t>
  </si>
  <si>
    <t xml:space="preserve">🏪 Matching Vendors</t>
  </si>
  <si>
    <t xml:space="preserve">🛍️ Matching Shopping Items</t>
  </si>
  <si>
    <t xml:space="preserve">Responsible</t>
  </si>
  <si>
    <t xml:space="preserve">✅ Matching Tasks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</si>
</sst>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₹#,##0"/>
    <numFmt numFmtId="166" formatCode="0.0%"/>
    <numFmt numFmtId="167" formatCode="0"/>
    <numFmt numFmtId="168" formatCode="dd\-mmm\-yyyy"/>
    <numFmt numFmtId="169" formatCode="\₹#,##0;&quot;(₹&quot;#,##0\);\-"/>
    <numFmt numFmtId="170" formatCode="General"/>
    <numFmt numFmtId="171" formatCode="hh:mm\ AM/PM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10173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2"/>
      <color rgb="FF101735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i val="true"/>
      <sz val="9"/>
      <color rgb="FF5F6368"/>
      <name val="Arial"/>
      <family val="0"/>
      <charset val="1"/>
    </font>
    <font>
      <b val="true"/>
      <sz val="17"/>
      <color rgb="FF101735"/>
      <name val="Arial"/>
      <family val="0"/>
      <charset val="1"/>
    </font>
    <font>
      <sz val="9"/>
      <color rgb="FF5F636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FFFFFF"/>
      <name val="Arial"/>
      <family val="0"/>
      <charset val="1"/>
    </font>
    <font>
      <b val="true"/>
      <sz val="11"/>
      <color rgb="FFEA377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5F6368"/>
      <name val="Arial"/>
      <family val="0"/>
      <charset val="1"/>
    </font>
    <font>
      <sz val="10"/>
      <color rgb="FF000000"/>
      <name val="Arial"/>
      <family val="0"/>
      <charset val="1"/>
    </font>
    <font>
      <u val="single"/>
      <sz val="10"/>
      <color rgb="FFEA3771"/>
      <name val="Arial"/>
      <family val="0"/>
      <charset val="1"/>
    </font>
    <font>
      <i val="true"/>
      <sz val="9"/>
      <color rgb="FF5F636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color rgb="FF5F6368"/>
      <name val="Arial"/>
      <family val="0"/>
      <charset val="1"/>
    </font>
    <font>
      <b val="true"/>
      <sz val="12"/>
      <color rgb="FFEA3771"/>
      <name val="Arial"/>
      <family val="0"/>
      <charset val="1"/>
    </font>
    <font>
      <b val="true"/>
      <sz val="14"/>
      <color rgb="FF101735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01735"/>
        <bgColor rgb="FF000000"/>
      </patternFill>
    </fill>
    <fill>
      <patternFill patternType="solid">
        <fgColor rgb="FFEA3771"/>
        <bgColor rgb="FFEA4335"/>
      </patternFill>
    </fill>
    <fill>
      <patternFill patternType="solid">
        <fgColor rgb="FFFDE7EE"/>
        <bgColor rgb="FFFCE8E6"/>
      </patternFill>
    </fill>
    <fill>
      <patternFill patternType="solid">
        <fgColor rgb="FFF1F3F4"/>
        <bgColor rgb="FFE6F4EA"/>
      </patternFill>
    </fill>
    <fill>
      <patternFill patternType="solid">
        <fgColor rgb="FF34A853"/>
        <bgColor rgb="FF008080"/>
      </patternFill>
    </fill>
    <fill>
      <patternFill patternType="solid">
        <fgColor rgb="FFFBBC04"/>
        <bgColor rgb="FFFF9900"/>
      </patternFill>
    </fill>
    <fill>
      <patternFill patternType="solid">
        <fgColor rgb="FFE6F4EA"/>
        <bgColor rgb="FFF1F3F4"/>
      </patternFill>
    </fill>
    <fill>
      <patternFill patternType="solid">
        <fgColor rgb="FFFEF7E0"/>
        <bgColor rgb="FFF1F3F4"/>
      </patternFill>
    </fill>
    <fill>
      <patternFill patternType="solid">
        <fgColor rgb="FFC2185B"/>
        <bgColor rgb="FF8E1F4B"/>
      </patternFill>
    </fill>
    <fill>
      <patternFill patternType="solid">
        <fgColor rgb="FFF9D9E6"/>
        <bgColor rgb="FFFDE7EE"/>
      </patternFill>
    </fill>
    <fill>
      <patternFill patternType="solid">
        <fgColor rgb="FFEA4335"/>
        <bgColor rgb="FFEA3771"/>
      </patternFill>
    </fill>
    <fill>
      <patternFill patternType="solid">
        <fgColor rgb="FFFCE8E6"/>
        <bgColor rgb="FFFDE7EE"/>
      </patternFill>
    </fill>
    <fill>
      <patternFill patternType="solid">
        <fgColor rgb="FFFFFFFF"/>
        <bgColor rgb="FFFEF7E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medium">
        <color rgb="FFEA3771"/>
      </left>
      <right style="medium">
        <color rgb="FFEA3771"/>
      </right>
      <top style="medium">
        <color rgb="FFEA3771"/>
      </top>
      <bottom style="medium">
        <color rgb="FFEA377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1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3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21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23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1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7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3">
    <dxf>
      <fill>
        <patternFill patternType="solid">
          <fgColor rgb="FF10173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1F3F4"/>
          <bgColor rgb="FF000000"/>
        </patternFill>
      </fill>
    </dxf>
    <dxf>
      <font>
        <b val="1"/>
        <color rgb="FFEA4335"/>
      </font>
      <fill>
        <patternFill>
          <bgColor rgb="FFFCE8E6"/>
        </patternFill>
      </fill>
    </dxf>
    <dxf>
      <font>
        <b val="1"/>
        <color rgb="FF34A853"/>
      </font>
      <fill>
        <patternFill>
          <bgColor rgb="FFE6F4EA"/>
        </patternFill>
      </fill>
    </dxf>
    <dxf>
      <font>
        <b val="1"/>
        <color rgb="FF8A6D00"/>
      </font>
      <fill>
        <patternFill>
          <bgColor rgb="FFFEF7E0"/>
        </patternFill>
      </fill>
    </dxf>
    <dxf>
      <fill>
        <patternFill patternType="solid">
          <fgColor rgb="FF5F6368"/>
          <bgColor rgb="FF000000"/>
        </patternFill>
      </fill>
    </dxf>
    <dxf>
      <fill>
        <patternFill patternType="solid">
          <fgColor rgb="FFE6F4EA"/>
          <bgColor rgb="FF000000"/>
        </patternFill>
      </fill>
    </dxf>
    <dxf>
      <fill>
        <patternFill>
          <bgColor rgb="FFFEF7E0"/>
        </patternFill>
      </fill>
    </dxf>
    <dxf>
      <fill>
        <patternFill>
          <bgColor rgb="FFE6F4EA"/>
        </patternFill>
      </fill>
    </dxf>
    <dxf>
      <fill>
        <patternFill patternType="solid">
          <fgColor rgb="FFFEF7E0"/>
          <bgColor rgb="FF000000"/>
        </patternFill>
      </fill>
    </dxf>
    <dxf>
      <fill>
        <patternFill patternType="solid">
          <fgColor rgb="FF8A6D00"/>
          <bgColor rgb="FF000000"/>
        </patternFill>
      </fill>
    </dxf>
    <dxf>
      <font>
        <color rgb="FF5F6368"/>
      </font>
      <fill>
        <patternFill>
          <bgColor rgb="FFF1F3F4"/>
        </patternFill>
      </fill>
    </dxf>
    <dxf>
      <font>
        <color rgb="FF8A6D00"/>
      </font>
      <fill>
        <patternFill>
          <bgColor rgb="FFFEF7E0"/>
        </patternFill>
      </fill>
    </dxf>
    <dxf>
      <font>
        <b val="1"/>
        <color rgb="FFEA3771"/>
      </font>
      <fill>
        <patternFill>
          <bgColor rgb="FFFDE7EE"/>
        </patternFill>
      </fill>
    </dxf>
    <dxf>
      <font>
        <color rgb="FF34A853"/>
      </font>
      <fill>
        <patternFill>
          <bgColor rgb="FFE6F4EA"/>
        </patternFill>
      </fill>
    </dxf>
    <dxf>
      <font>
        <b val="1"/>
        <color rgb="FFFFFFFF"/>
      </font>
      <fill>
        <patternFill>
          <bgColor rgb="FF34A853"/>
        </patternFill>
      </fill>
    </dxf>
    <dxf>
      <fill>
        <patternFill patternType="solid">
          <fgColor rgb="FFFCE8E6"/>
          <bgColor rgb="FF000000"/>
        </patternFill>
      </fill>
    </dxf>
    <dxf>
      <fill>
        <patternFill patternType="solid">
          <fgColor rgb="FFEA4335"/>
          <bgColor rgb="FF000000"/>
        </patternFill>
      </fill>
    </dxf>
    <dxf>
      <fill>
        <patternFill>
          <bgColor rgb="FFF1F3F4"/>
        </patternFill>
      </fill>
    </dxf>
    <dxf>
      <fill>
        <patternFill>
          <bgColor rgb="FFFDE7EE"/>
        </patternFill>
      </fill>
    </dxf>
    <dxf>
      <font>
        <b val="1"/>
        <color rgb="FFEA4335"/>
      </font>
    </dxf>
  </dxfs>
  <colors>
    <indexedColors>
      <rgbColor rgb="FF000000"/>
      <rgbColor rgb="FFFFFFFF"/>
      <rgbColor rgb="FFEA3771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00"/>
      <rgbColor rgb="FF800080"/>
      <rgbColor rgb="FF008080"/>
      <rgbColor rgb="FFD9D9D9"/>
      <rgbColor rgb="FF878787"/>
      <rgbColor rgb="FF9999FF"/>
      <rgbColor rgb="FF8E1F4B"/>
      <rgbColor rgb="FFFEF7E0"/>
      <rgbColor rgb="FFE6F4EA"/>
      <rgbColor rgb="FF6B0F33"/>
      <rgbColor rgb="FFFF7FA8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3F4"/>
      <rgbColor rgb="FFFDE7EE"/>
      <rgbColor rgb="FFFCE8E6"/>
      <rgbColor rgb="FFF9D9E6"/>
      <rgbColor rgb="FFF7A8C4"/>
      <rgbColor rgb="FFCC99FF"/>
      <rgbColor rgb="FFFFC1D9"/>
      <rgbColor rgb="FF4F81BD"/>
      <rgbColor rgb="FF33CCCC"/>
      <rgbColor rgb="FF99CC00"/>
      <rgbColor rgb="FFFBBC04"/>
      <rgbColor rgb="FFFF9900"/>
      <rgbColor rgb="FFEA4335"/>
      <rgbColor rgb="FF5F6368"/>
      <rgbColor rgb="FF9AA0A6"/>
      <rgbColor rgb="FF101735"/>
      <rgbColor rgb="FF34A853"/>
      <rgbColor rgb="FF003300"/>
      <rgbColor rgb="FF333300"/>
      <rgbColor rgb="FFD6577E"/>
      <rgbColor rgb="FFC2185B"/>
      <rgbColor rgb="FF333399"/>
      <rgbColor rgb="FF4A0E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Spend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'💰 Budget'!C3</c:f>
              <c:strCache>
                <c:ptCount val="1"/>
                <c:pt idx="0">
                  <c:v>Actual Expense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01735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a3771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7fa8"/>
              </a:solidFill>
              <a:ln w="0">
                <a:noFill/>
              </a:ln>
            </c:spPr>
          </c:dPt>
          <c:dPt>
            <c:idx val="3"/>
            <c:spPr>
              <a:solidFill>
                <a:srgbClr val="34a853"/>
              </a:solidFill>
              <a:ln w="0">
                <a:noFill/>
              </a:ln>
            </c:spPr>
          </c:dPt>
          <c:dPt>
            <c:idx val="4"/>
            <c:spPr>
              <a:solidFill>
                <a:srgbClr val="fbbc04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e1f4b"/>
              </a:solidFill>
              <a:ln w="0">
                <a:noFill/>
              </a:ln>
            </c:spPr>
          </c:dPt>
          <c:dPt>
            <c:idx val="6"/>
            <c:spPr>
              <a:solidFill>
                <a:srgbClr val="f7a8c4"/>
              </a:solidFill>
              <a:ln w="0">
                <a:noFill/>
              </a:ln>
            </c:spPr>
          </c:dPt>
          <c:dPt>
            <c:idx val="7"/>
            <c:spPr>
              <a:solidFill>
                <a:srgbClr val="c2185b"/>
              </a:solidFill>
              <a:ln w="0">
                <a:noFill/>
              </a:ln>
            </c:spPr>
          </c:dPt>
          <c:dPt>
            <c:idx val="8"/>
            <c:spPr>
              <a:solidFill>
                <a:srgbClr val="6b0f33"/>
              </a:solidFill>
              <a:ln w="0">
                <a:noFill/>
              </a:ln>
            </c:spPr>
          </c:dPt>
          <c:dPt>
            <c:idx val="9"/>
            <c:spPr>
              <a:solidFill>
                <a:srgbClr val="ffc1d9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d6577e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4a0e24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eparator>
</c:separator>
            <c:showLeaderLines val="1"/>
          </c:dLbls>
          <c:cat>
            <c:strRef>
              <c:f>'💰 Budget'!$A$4:$A$15</c:f>
              <c:strCache>
                <c:ptCount val="12"/>
                <c:pt idx="0">
                  <c:v>Hall</c:v>
                </c:pt>
                <c:pt idx="1">
                  <c:v>Decoration</c:v>
                </c:pt>
                <c:pt idx="2">
                  <c:v>Food</c:v>
                </c:pt>
                <c:pt idx="3">
                  <c:v>Photography</c:v>
                </c:pt>
                <c:pt idx="4">
                  <c:v>Invitation</c:v>
                </c:pt>
                <c:pt idx="5">
                  <c:v>Jewellery</c:v>
                </c:pt>
                <c:pt idx="6">
                  <c:v>Shopping</c:v>
                </c:pt>
                <c:pt idx="7">
                  <c:v>Travel</c:v>
                </c:pt>
                <c:pt idx="8">
                  <c:v>Accommodation</c:v>
                </c:pt>
                <c:pt idx="9">
                  <c:v>Music</c:v>
                </c:pt>
                <c:pt idx="10">
                  <c:v>Return Gifts</c:v>
                </c:pt>
                <c:pt idx="11">
                  <c:v>Miscellaneous</c:v>
                </c:pt>
              </c:strCache>
            </c:strRef>
          </c:cat>
          <c:val>
            <c:numRef>
              <c:f>'💰 Budget'!$C$4:$C$15</c:f>
              <c:numCache>
                <c:formatCode>\₹#,##0;"(₹"#,##0\);\-</c:formatCode>
                <c:ptCount val="12"/>
                <c:pt idx="0">
                  <c:v>50000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Estimated vs Actual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'💰 Budget'!B3</c:f>
              <c:strCache>
                <c:ptCount val="1"/>
                <c:pt idx="0">
                  <c:v>Estimated Budget (₹)</c:v>
                </c:pt>
              </c:strCache>
            </c:strRef>
          </c:tx>
          <c:spPr>
            <a:solidFill>
              <a:srgbClr val="10173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'💰 Budget'!$A$4:$A$15</c:f>
              <c:strCache>
                <c:ptCount val="12"/>
                <c:pt idx="0">
                  <c:v>Hall</c:v>
                </c:pt>
                <c:pt idx="1">
                  <c:v>Decoration</c:v>
                </c:pt>
                <c:pt idx="2">
                  <c:v>Food</c:v>
                </c:pt>
                <c:pt idx="3">
                  <c:v>Photography</c:v>
                </c:pt>
                <c:pt idx="4">
                  <c:v>Invitation</c:v>
                </c:pt>
                <c:pt idx="5">
                  <c:v>Jewellery</c:v>
                </c:pt>
                <c:pt idx="6">
                  <c:v>Shopping</c:v>
                </c:pt>
                <c:pt idx="7">
                  <c:v>Travel</c:v>
                </c:pt>
                <c:pt idx="8">
                  <c:v>Accommodation</c:v>
                </c:pt>
                <c:pt idx="9">
                  <c:v>Music</c:v>
                </c:pt>
                <c:pt idx="10">
                  <c:v>Return Gifts</c:v>
                </c:pt>
                <c:pt idx="11">
                  <c:v>Miscellaneous</c:v>
                </c:pt>
              </c:strCache>
            </c:strRef>
          </c:cat>
          <c:val>
            <c:numRef>
              <c:f>'💰 Budget'!$B$4:$B$15</c:f>
              <c:numCache>
                <c:formatCode>\₹#,##0;"(₹"#,##0\);\-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'💰 Budget'!C3</c:f>
              <c:strCache>
                <c:ptCount val="1"/>
                <c:pt idx="0">
                  <c:v>Actual Expense (₹)</c:v>
                </c:pt>
              </c:strCache>
            </c:strRef>
          </c:tx>
          <c:spPr>
            <a:solidFill>
              <a:srgbClr val="ea377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'💰 Budget'!$A$4:$A$15</c:f>
              <c:strCache>
                <c:ptCount val="12"/>
                <c:pt idx="0">
                  <c:v>Hall</c:v>
                </c:pt>
                <c:pt idx="1">
                  <c:v>Decoration</c:v>
                </c:pt>
                <c:pt idx="2">
                  <c:v>Food</c:v>
                </c:pt>
                <c:pt idx="3">
                  <c:v>Photography</c:v>
                </c:pt>
                <c:pt idx="4">
                  <c:v>Invitation</c:v>
                </c:pt>
                <c:pt idx="5">
                  <c:v>Jewellery</c:v>
                </c:pt>
                <c:pt idx="6">
                  <c:v>Shopping</c:v>
                </c:pt>
                <c:pt idx="7">
                  <c:v>Travel</c:v>
                </c:pt>
                <c:pt idx="8">
                  <c:v>Accommodation</c:v>
                </c:pt>
                <c:pt idx="9">
                  <c:v>Music</c:v>
                </c:pt>
                <c:pt idx="10">
                  <c:v>Return Gifts</c:v>
                </c:pt>
                <c:pt idx="11">
                  <c:v>Miscellaneous</c:v>
                </c:pt>
              </c:strCache>
            </c:strRef>
          </c:cat>
          <c:val>
            <c:numRef>
              <c:f>'💰 Budget'!$C$4:$C$15</c:f>
              <c:numCache>
                <c:formatCode>\₹#,##0;"(₹"#,##0\);\-</c:formatCode>
                <c:ptCount val="12"/>
                <c:pt idx="0">
                  <c:v>50000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overlap val="0"/>
        <c:axId val="74697554"/>
        <c:axId val="2261305"/>
      </c:barChart>
      <c:catAx>
        <c:axId val="746975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61305"/>
        <c:crosses val="autoZero"/>
        <c:auto val="1"/>
        <c:lblAlgn val="ctr"/>
        <c:lblOffset val="100"/>
        <c:noMultiLvlLbl val="0"/>
      </c:catAx>
      <c:valAx>
        <c:axId val="22613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;&quot;(₹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6975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Task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01735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a3771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7fa8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eparator>
</c:separator>
            <c:showLeaderLines val="1"/>
          </c:dLbls>
          <c:cat>
            <c:strRef>
              <c:f>'📊 Dashboard'!$R$10:$R$12</c:f>
              <c:strCache>
                <c:ptCount val="3"/>
                <c:pt idx="0">
                  <c:v>Not Started</c:v>
                </c:pt>
                <c:pt idx="1">
                  <c:v>In Progress</c:v>
                </c:pt>
                <c:pt idx="2">
                  <c:v>Completed</c:v>
                </c:pt>
              </c:strCache>
            </c:strRef>
          </c:cat>
          <c:val>
            <c:numRef>
              <c:f>'📊 Dashboard'!$S$10:$S$12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Invitation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01735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a3771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eparator>
</c:separator>
            <c:showLeaderLines val="1"/>
          </c:dLbls>
          <c:cat>
            <c:strRef>
              <c:f>'📊 Dashboard'!$R$14:$R$15</c:f>
              <c:strCache>
                <c:ptCount val="2"/>
                <c:pt idx="0">
                  <c:v>Invited (Yes)</c:v>
                </c:pt>
                <c:pt idx="1">
                  <c:v>Not Yet</c:v>
                </c:pt>
              </c:strCache>
            </c:strRef>
          </c:cat>
          <c:val>
            <c:numRef>
              <c:f>'📊 Dashboard'!$S$14:$S$15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0</xdr:rowOff>
    </xdr:from>
    <xdr:to>
      <xdr:col>8</xdr:col>
      <xdr:colOff>324720</xdr:colOff>
      <xdr:row>40</xdr:row>
      <xdr:rowOff>11520</xdr:rowOff>
    </xdr:to>
    <xdr:graphicFrame>
      <xdr:nvGraphicFramePr>
        <xdr:cNvPr id="0" name="Chart 1"/>
        <xdr:cNvGraphicFramePr/>
      </xdr:nvGraphicFramePr>
      <xdr:xfrm>
        <a:off x="0" y="719136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24</xdr:row>
      <xdr:rowOff>0</xdr:rowOff>
    </xdr:from>
    <xdr:to>
      <xdr:col>17</xdr:col>
      <xdr:colOff>888840</xdr:colOff>
      <xdr:row>40</xdr:row>
      <xdr:rowOff>11520</xdr:rowOff>
    </xdr:to>
    <xdr:graphicFrame>
      <xdr:nvGraphicFramePr>
        <xdr:cNvPr id="1" name="Chart 2"/>
        <xdr:cNvGraphicFramePr/>
      </xdr:nvGraphicFramePr>
      <xdr:xfrm>
        <a:off x="5850360" y="719136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42</xdr:row>
      <xdr:rowOff>0</xdr:rowOff>
    </xdr:from>
    <xdr:to>
      <xdr:col>8</xdr:col>
      <xdr:colOff>324720</xdr:colOff>
      <xdr:row>58</xdr:row>
      <xdr:rowOff>11520</xdr:rowOff>
    </xdr:to>
    <xdr:graphicFrame>
      <xdr:nvGraphicFramePr>
        <xdr:cNvPr id="2" name="Chart 3"/>
        <xdr:cNvGraphicFramePr/>
      </xdr:nvGraphicFramePr>
      <xdr:xfrm>
        <a:off x="0" y="1062036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42</xdr:row>
      <xdr:rowOff>0</xdr:rowOff>
    </xdr:from>
    <xdr:to>
      <xdr:col>17</xdr:col>
      <xdr:colOff>888840</xdr:colOff>
      <xdr:row>58</xdr:row>
      <xdr:rowOff>11520</xdr:rowOff>
    </xdr:to>
    <xdr:graphicFrame>
      <xdr:nvGraphicFramePr>
        <xdr:cNvPr id="3" name="Chart 4"/>
        <xdr:cNvGraphicFramePr/>
      </xdr:nvGraphicFramePr>
      <xdr:xfrm>
        <a:off x="5850360" y="1062036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A3771"/>
    <pageSetUpPr fitToPage="false"/>
  </sheetPr>
  <dimension ref="A1:S24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1"/>
    <col collapsed="false" customWidth="true" hidden="false" outlineLevel="0" max="4" min="4" style="0" width="3"/>
    <col collapsed="false" customWidth="true" hidden="false" outlineLevel="0" max="7" min="5" style="0" width="11"/>
    <col collapsed="false" customWidth="true" hidden="false" outlineLevel="0" max="8" min="8" style="0" width="3"/>
    <col collapsed="false" customWidth="true" hidden="false" outlineLevel="0" max="11" min="9" style="0" width="11"/>
    <col collapsed="false" customWidth="true" hidden="false" outlineLevel="0" max="12" min="12" style="0" width="3"/>
    <col collapsed="false" customWidth="true" hidden="false" outlineLevel="0" max="15" min="13" style="0" width="11"/>
    <col collapsed="false" customWidth="true" hidden="false" outlineLevel="0" max="17" min="16" style="0" width="3"/>
    <col collapsed="false" customWidth="true" hidden="false" outlineLevel="0" max="18" min="18" style="0" width="16"/>
    <col collapsed="false" customWidth="true" hidden="false" outlineLevel="0" max="19" min="19" style="0" width="10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30" hidden="false" customHeight="true" outlineLevel="0" collapsed="false">
      <c r="A2" s="2" t="s">
        <v>1</v>
      </c>
      <c r="B2" s="2"/>
      <c r="C2" s="3" t="s">
        <v>2</v>
      </c>
      <c r="D2" s="3"/>
      <c r="E2" s="2" t="s">
        <v>3</v>
      </c>
      <c r="F2" s="2"/>
      <c r="G2" s="3" t="s">
        <v>4</v>
      </c>
      <c r="H2" s="3"/>
      <c r="I2" s="2" t="s">
        <v>5</v>
      </c>
      <c r="J2" s="2"/>
      <c r="K2" s="3" t="s">
        <v>6</v>
      </c>
      <c r="L2" s="3"/>
      <c r="M2" s="2" t="s">
        <v>7</v>
      </c>
      <c r="N2" s="2"/>
      <c r="O2" s="3" t="s">
        <v>8</v>
      </c>
      <c r="P2" s="3"/>
      <c r="Q2" s="2" t="s">
        <v>9</v>
      </c>
      <c r="R2" s="2"/>
      <c r="S2" s="2"/>
    </row>
    <row r="3" customFormat="false" ht="25.5" hidden="false" customHeight="true" outlineLevel="0" collapsed="false">
      <c r="A3" s="4" t="str">
        <f aca="false">IF('ℹ️ Wedding Info'!B4="","","💍 "&amp;'ℹ️ Wedding Info'!B4&amp;"  ❤  "&amp;'ℹ️ Wedding Info'!B5&amp;"   |   📅 "&amp;TEXT('ℹ️ Wedding Info'!B6,"dd mmmm yyyy")&amp;IF('ℹ️ Wedding Info'!B8="","","   |   📍 "&amp;'ℹ️ Wedding Info'!B8))</f>
        <v/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5" customFormat="false" ht="19.5" hidden="false" customHeight="true" outlineLevel="0" collapsed="false">
      <c r="A5" s="5" t="s">
        <v>10</v>
      </c>
      <c r="B5" s="5"/>
      <c r="C5" s="5"/>
      <c r="D5" s="5"/>
      <c r="E5" s="5"/>
      <c r="G5" s="6" t="s">
        <v>11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customFormat="false" ht="33.75" hidden="false" customHeight="true" outlineLevel="0" collapsed="false">
      <c r="A6" s="7" t="str">
        <f aca="true">IF('ℹ️ Wedding Info'!B6="","Set your wedding date in Wedding Info",IF('ℹ️ Wedding Info'!B6-TODAY()&lt;0,"The big day has passed! 🎉",'ℹ️ Wedding Info'!B6-TODAY()&amp;" DAYS TO GO"))</f>
        <v>Set your wedding date in Wedding Info</v>
      </c>
      <c r="B6" s="7"/>
      <c r="C6" s="7"/>
      <c r="D6" s="7"/>
      <c r="E6" s="7"/>
      <c r="G6" s="8" t="str">
        <f aca="false">IF('ℹ️ Wedding Info'!B29="","No announcements yet — add one in Wedding Info","📅 "&amp;TEXT('ℹ️ Wedding Info'!A29,"dd mmm")&amp;"  —  "&amp;'ℹ️ Wedding Info'!B29&amp;"  ("&amp;'ℹ️ Wedding Info'!C29&amp;")")</f>
        <v>📅 01 Aug  —  Caterer tasting moved to Friday 6pm  (Rohan)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8" customFormat="false" ht="25.5" hidden="false" customHeight="true" outlineLevel="0" collapsed="false">
      <c r="A8" s="9" t="s">
        <v>12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customFormat="false" ht="25.5" hidden="false" customHeight="true" outlineLevel="0" collapsed="false">
      <c r="A9" s="10" t="s">
        <v>13</v>
      </c>
      <c r="B9" s="10"/>
      <c r="C9" s="10"/>
      <c r="E9" s="11" t="s">
        <v>14</v>
      </c>
      <c r="F9" s="11"/>
      <c r="G9" s="11"/>
      <c r="I9" s="12" t="s">
        <v>15</v>
      </c>
      <c r="J9" s="12"/>
      <c r="K9" s="12"/>
      <c r="M9" s="13" t="s">
        <v>16</v>
      </c>
      <c r="N9" s="13"/>
      <c r="O9" s="13"/>
      <c r="R9" s="14" t="s">
        <v>17</v>
      </c>
    </row>
    <row r="10" customFormat="false" ht="30" hidden="false" customHeight="true" outlineLevel="0" collapsed="false">
      <c r="A10" s="15" t="n">
        <f aca="false">'💰 Budget'!B16</f>
        <v>0</v>
      </c>
      <c r="B10" s="15"/>
      <c r="C10" s="15"/>
      <c r="E10" s="16" t="n">
        <f aca="false">'💰 Budget'!C16</f>
        <v>50000</v>
      </c>
      <c r="F10" s="16"/>
      <c r="G10" s="16"/>
      <c r="I10" s="17" t="n">
        <f aca="false">'💰 Budget'!D16</f>
        <v>-50000</v>
      </c>
      <c r="J10" s="17"/>
      <c r="K10" s="17"/>
      <c r="M10" s="18" t="n">
        <f aca="false">'💰 Budget'!F16</f>
        <v>0</v>
      </c>
      <c r="N10" s="18"/>
      <c r="O10" s="18"/>
      <c r="R10" s="19" t="s">
        <v>18</v>
      </c>
      <c r="S10" s="19" t="n">
        <f aca="false">COUNTIF('✅ Tasks'!G7:G56,"Not Started")</f>
        <v>0</v>
      </c>
    </row>
    <row r="11" customFormat="false" ht="15" hidden="false" customHeight="false" outlineLevel="0" collapsed="false">
      <c r="R11" s="19" t="s">
        <v>19</v>
      </c>
      <c r="S11" s="19" t="n">
        <f aca="false">COUNTIF('✅ Tasks'!G7:G56,"In Progress")</f>
        <v>1</v>
      </c>
    </row>
    <row r="12" customFormat="false" ht="25.5" hidden="false" customHeight="true" outlineLevel="0" collapsed="false">
      <c r="A12" s="10" t="s">
        <v>20</v>
      </c>
      <c r="B12" s="10"/>
      <c r="C12" s="10"/>
      <c r="E12" s="20" t="s">
        <v>21</v>
      </c>
      <c r="F12" s="20"/>
      <c r="G12" s="20"/>
      <c r="I12" s="13" t="s">
        <v>22</v>
      </c>
      <c r="J12" s="13"/>
      <c r="K12" s="13"/>
      <c r="M12" s="12" t="s">
        <v>23</v>
      </c>
      <c r="N12" s="12"/>
      <c r="O12" s="12"/>
      <c r="R12" s="19" t="s">
        <v>24</v>
      </c>
      <c r="S12" s="19" t="n">
        <f aca="false">COUNTIF('✅ Tasks'!G7:G56,"Completed")</f>
        <v>0</v>
      </c>
    </row>
    <row r="13" customFormat="false" ht="30" hidden="false" customHeight="true" outlineLevel="0" collapsed="false">
      <c r="A13" s="21" t="n">
        <f aca="false">COUNTA('👨‍👩‍👧‍👦 Guests'!B7:B66)</f>
        <v>1</v>
      </c>
      <c r="B13" s="21"/>
      <c r="C13" s="21"/>
      <c r="E13" s="22" t="n">
        <f aca="false">SUM('👨‍👩‍👧‍👦 Guests'!F7:F66)</f>
        <v>4</v>
      </c>
      <c r="F13" s="22"/>
      <c r="G13" s="22"/>
      <c r="I13" s="23" t="n">
        <f aca="false">COUNTA('👨‍👩‍👧‍👦 Guests'!B7:B66)-COUNTIF('👨‍👩‍👧‍👦 Guests'!G7:G66,"Yes")</f>
        <v>0</v>
      </c>
      <c r="J13" s="23"/>
      <c r="K13" s="23"/>
      <c r="M13" s="24" t="n">
        <f aca="false">COUNTIF('👨‍👩‍👧‍👦 Guests'!J7:J66,TRUE())</f>
        <v>1</v>
      </c>
      <c r="N13" s="24"/>
      <c r="O13" s="24"/>
      <c r="R13" s="19"/>
      <c r="S13" s="19"/>
    </row>
    <row r="14" customFormat="false" ht="15" hidden="false" customHeight="false" outlineLevel="0" collapsed="false">
      <c r="R14" s="19" t="s">
        <v>25</v>
      </c>
      <c r="S14" s="19" t="n">
        <f aca="false">COUNTIF('👨‍👩‍👧‍👦 Guests'!G7:G66,"Yes")</f>
        <v>1</v>
      </c>
    </row>
    <row r="15" customFormat="false" ht="25.5" hidden="false" customHeight="true" outlineLevel="0" collapsed="false">
      <c r="A15" s="13" t="s">
        <v>26</v>
      </c>
      <c r="B15" s="13"/>
      <c r="C15" s="13"/>
      <c r="E15" s="25" t="s">
        <v>27</v>
      </c>
      <c r="F15" s="25"/>
      <c r="G15" s="25"/>
      <c r="I15" s="12" t="s">
        <v>28</v>
      </c>
      <c r="J15" s="12"/>
      <c r="K15" s="12"/>
      <c r="M15" s="11" t="s">
        <v>29</v>
      </c>
      <c r="N15" s="11"/>
      <c r="O15" s="11"/>
      <c r="R15" s="19" t="s">
        <v>30</v>
      </c>
      <c r="S15" s="19" t="n">
        <f aca="false">COUNTA('👨‍👩‍👧‍👦 Guests'!B7:B66)-S14</f>
        <v>0</v>
      </c>
    </row>
    <row r="16" customFormat="false" ht="30" hidden="false" customHeight="true" outlineLevel="0" collapsed="false">
      <c r="A16" s="23" t="n">
        <f aca="false">COUNTIF('✅ Tasks'!G7:G56,"Not Started")+COUNTIF('✅ Tasks'!G7:G56,"In Progress")</f>
        <v>1</v>
      </c>
      <c r="B16" s="23"/>
      <c r="C16" s="23"/>
      <c r="E16" s="26" t="n">
        <f aca="true">COUNTIFS('✅ Tasks'!F7:F56,"&lt;"&amp;TODAY(),'✅ Tasks'!G7:G56,"&lt;&gt;Completed",'✅ Tasks'!A7:A56,"&lt;&gt;")</f>
        <v>0</v>
      </c>
      <c r="F16" s="26"/>
      <c r="G16" s="26"/>
      <c r="I16" s="27" t="n">
        <f aca="false">IFERROR(COUNTIF('✅ Tasks'!G7:G56,"Completed")/COUNTA('✅ Tasks'!A7:A56),0)</f>
        <v>0</v>
      </c>
      <c r="J16" s="27"/>
      <c r="K16" s="27"/>
      <c r="M16" s="28" t="n">
        <f aca="false">IFERROR(COUNTIF('🛍️ Shopping'!E7:E56,"Completed")/COUNTA('🛍️ Shopping'!A7:A56),0)</f>
        <v>0</v>
      </c>
      <c r="N16" s="28"/>
      <c r="O16" s="28"/>
    </row>
    <row r="18" customFormat="false" ht="25.5" hidden="false" customHeight="true" outlineLevel="0" collapsed="false">
      <c r="A18" s="13" t="s">
        <v>31</v>
      </c>
      <c r="B18" s="13"/>
      <c r="C18" s="13"/>
      <c r="E18" s="25" t="s">
        <v>32</v>
      </c>
      <c r="F18" s="25"/>
      <c r="G18" s="25"/>
      <c r="I18" s="25" t="s">
        <v>33</v>
      </c>
      <c r="J18" s="25"/>
      <c r="K18" s="25"/>
      <c r="M18" s="10" t="s">
        <v>34</v>
      </c>
      <c r="N18" s="10"/>
      <c r="O18" s="10"/>
    </row>
    <row r="19" customFormat="false" ht="30" hidden="false" customHeight="true" outlineLevel="0" collapsed="false">
      <c r="A19" s="23" t="n">
        <f aca="false">COUNTIF('🏪 Vendors'!J4:J43,"Pending")</f>
        <v>1</v>
      </c>
      <c r="B19" s="23"/>
      <c r="C19" s="23"/>
      <c r="E19" s="29" t="n">
        <f aca="false">SUMIF('🏪 Vendors'!J4:J43,"Pending",'🏪 Vendors'!I4:I43)</f>
        <v>450000</v>
      </c>
      <c r="F19" s="29"/>
      <c r="G19" s="29"/>
      <c r="I19" s="26" t="n">
        <f aca="false">SUMPRODUCT(('📦 Inventory'!A4:A43&lt;&gt;"")*('📦 Inventory'!C4:C43&lt;'📦 Inventory'!B4:B43))</f>
        <v>1</v>
      </c>
      <c r="J19" s="26"/>
      <c r="K19" s="26"/>
      <c r="M19" s="21" t="n">
        <f aca="false">COUNTA('🏨 Stay Arrangement'!A7:A46)</f>
        <v>1</v>
      </c>
      <c r="N19" s="21"/>
      <c r="O19" s="21"/>
    </row>
    <row r="21" customFormat="false" ht="15.75" hidden="false" customHeight="true" outlineLevel="0" collapsed="false">
      <c r="A21" s="30" t="str">
        <f aca="true">IFERROR(IF(_xlfn.MINIFS('📅 Timeline'!B4:B17,'📅 Timeline'!B4:B17,"&gt;="&amp;TODAY())=0,"🎉 No upcoming events on the Timeline yet","🎉 Next Up: "&amp;INDEX('📅 Timeline'!A4:A17,MATCH(_xlfn.MINIFS('📅 Timeline'!B4:B17,'📅 Timeline'!B4:B17,"&gt;="&amp;TODAY()),'📅 Timeline'!B4:B17,0))&amp;"  on  "&amp;TEXT(_xlfn.MINIFS('📅 Timeline'!B4:B17,'📅 Timeline'!B4:B17,"&gt;="&amp;TODAY()),"dd mmmm yyyy")&amp;"  at  "&amp;INDEX('📅 Timeline'!D4:D17,MATCH(_xlfn.MINIFS('📅 Timeline'!B4:B17,'📅 Timeline'!B4:B17,"&gt;="&amp;TODAY()),'📅 Timeline'!B4:B17,0))),"🎉 No upcoming events on the Timeline yet")</f>
        <v>🎉 Next Up: Engagement  on  10 December 2026  at  Sharma Residence, Pune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</row>
    <row r="22" customFormat="false" ht="21.75" hidden="false" customHeight="true" outlineLevel="0" collapsed="false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</row>
    <row r="24" customFormat="false" ht="25.5" hidden="false" customHeight="true" outlineLevel="0" collapsed="false">
      <c r="A24" s="9" t="s">
        <v>35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</sheetData>
  <mergeCells count="50">
    <mergeCell ref="A1:S1"/>
    <mergeCell ref="A2:B2"/>
    <mergeCell ref="C2:D2"/>
    <mergeCell ref="E2:F2"/>
    <mergeCell ref="G2:H2"/>
    <mergeCell ref="I2:J2"/>
    <mergeCell ref="K2:L2"/>
    <mergeCell ref="M2:N2"/>
    <mergeCell ref="O2:P2"/>
    <mergeCell ref="Q2:S2"/>
    <mergeCell ref="A3:S3"/>
    <mergeCell ref="A5:E5"/>
    <mergeCell ref="G5:S5"/>
    <mergeCell ref="A6:E6"/>
    <mergeCell ref="G6:S6"/>
    <mergeCell ref="A8:S8"/>
    <mergeCell ref="A9:C9"/>
    <mergeCell ref="E9:G9"/>
    <mergeCell ref="I9:K9"/>
    <mergeCell ref="M9:O9"/>
    <mergeCell ref="A10:C10"/>
    <mergeCell ref="E10:G10"/>
    <mergeCell ref="I10:K10"/>
    <mergeCell ref="M10:O10"/>
    <mergeCell ref="A12:C12"/>
    <mergeCell ref="E12:G12"/>
    <mergeCell ref="I12:K12"/>
    <mergeCell ref="M12:O12"/>
    <mergeCell ref="A13:C13"/>
    <mergeCell ref="E13:G13"/>
    <mergeCell ref="I13:K13"/>
    <mergeCell ref="M13:O13"/>
    <mergeCell ref="A15:C15"/>
    <mergeCell ref="E15:G15"/>
    <mergeCell ref="I15:K15"/>
    <mergeCell ref="M15:O15"/>
    <mergeCell ref="A16:C16"/>
    <mergeCell ref="E16:G16"/>
    <mergeCell ref="I16:K16"/>
    <mergeCell ref="M16:O16"/>
    <mergeCell ref="A18:C18"/>
    <mergeCell ref="E18:G18"/>
    <mergeCell ref="I18:K18"/>
    <mergeCell ref="M18:O18"/>
    <mergeCell ref="A19:C19"/>
    <mergeCell ref="E19:G19"/>
    <mergeCell ref="I19:K19"/>
    <mergeCell ref="M19:O19"/>
    <mergeCell ref="A21:S22"/>
    <mergeCell ref="A24:S24"/>
  </mergeCells>
  <hyperlinks>
    <hyperlink ref="A2" location="'📊 Dashboard'!A1" display="🏠 Dashboard"/>
    <hyperlink ref="C2" location="'👨‍👩‍👧‍👦 Guests'!A1" display="👥 Guests"/>
    <hyperlink ref="E2" location="'💰 Budget'!A1" display="💰 Budget"/>
    <hyperlink ref="G2" location="'🧾 Expenses'!A1" display="🧾 Expenses"/>
    <hyperlink ref="I2" location="'🏪 Vendors'!A1" display="🏪 Vendors"/>
    <hyperlink ref="K2" location="'🛍️ Shopping'!A1" display="🛍 Shopping"/>
    <hyperlink ref="M2" location="'📦 Inventory'!A1" display="📦 Inventory"/>
    <hyperlink ref="O2" location="'🏨 Stay Arrangement'!A1" display="🚗 Stay"/>
    <hyperlink ref="Q2" location="'✅ Tasks'!A1" display="✅ Task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0A6"/>
    <pageSetUpPr fitToPage="false"/>
  </sheetPr>
  <dimension ref="A1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70"/>
    <col collapsed="false" customWidth="true" hidden="false" outlineLevel="0" max="5" min="4" style="0" width="4"/>
  </cols>
  <sheetData>
    <row r="1" customFormat="false" ht="31.5" hidden="false" customHeight="true" outlineLevel="0" collapsed="false">
      <c r="A1" s="31" t="s">
        <v>36</v>
      </c>
      <c r="B1" s="31"/>
      <c r="C1" s="31"/>
    </row>
    <row r="3" customFormat="false" ht="15" hidden="false" customHeight="false" outlineLevel="0" collapsed="false">
      <c r="B3" s="32" t="s">
        <v>37</v>
      </c>
    </row>
    <row r="4" customFormat="false" ht="45" hidden="false" customHeight="true" outlineLevel="0" collapsed="false">
      <c r="B4" s="33" t="s">
        <v>38</v>
      </c>
      <c r="C4" s="33"/>
    </row>
    <row r="6" customFormat="false" ht="15" hidden="false" customHeight="false" outlineLevel="0" collapsed="false">
      <c r="B6" s="34" t="s">
        <v>39</v>
      </c>
    </row>
    <row r="7" customFormat="false" ht="27.75" hidden="false" customHeight="true" outlineLevel="0" collapsed="false">
      <c r="B7" s="33" t="s">
        <v>40</v>
      </c>
      <c r="C7" s="33"/>
    </row>
    <row r="8" customFormat="false" ht="27.75" hidden="false" customHeight="true" outlineLevel="0" collapsed="false">
      <c r="B8" s="33" t="s">
        <v>41</v>
      </c>
      <c r="C8" s="33"/>
    </row>
    <row r="9" customFormat="false" ht="27.75" hidden="false" customHeight="true" outlineLevel="0" collapsed="false">
      <c r="B9" s="33" t="s">
        <v>42</v>
      </c>
      <c r="C9" s="33"/>
    </row>
    <row r="10" customFormat="false" ht="27.75" hidden="false" customHeight="true" outlineLevel="0" collapsed="false">
      <c r="B10" s="33" t="s">
        <v>43</v>
      </c>
      <c r="C10" s="33"/>
    </row>
    <row r="12" customFormat="false" ht="15" hidden="false" customHeight="false" outlineLevel="0" collapsed="false">
      <c r="B12" s="34" t="s">
        <v>44</v>
      </c>
    </row>
    <row r="13" customFormat="false" ht="27.75" hidden="false" customHeight="true" outlineLevel="0" collapsed="false">
      <c r="B13" s="33" t="s">
        <v>45</v>
      </c>
      <c r="C13" s="33"/>
    </row>
    <row r="14" customFormat="false" ht="27.75" hidden="false" customHeight="true" outlineLevel="0" collapsed="false">
      <c r="B14" s="33" t="s">
        <v>46</v>
      </c>
      <c r="C14" s="33"/>
    </row>
    <row r="15" customFormat="false" ht="27.75" hidden="false" customHeight="true" outlineLevel="0" collapsed="false">
      <c r="B15" s="33" t="s">
        <v>47</v>
      </c>
      <c r="C15" s="33"/>
    </row>
    <row r="17" customFormat="false" ht="15" hidden="false" customHeight="false" outlineLevel="0" collapsed="false">
      <c r="B17" s="34" t="s">
        <v>48</v>
      </c>
    </row>
    <row r="18" customFormat="false" ht="27.75" hidden="false" customHeight="true" outlineLevel="0" collapsed="false">
      <c r="B18" s="33" t="s">
        <v>49</v>
      </c>
      <c r="C18" s="33"/>
    </row>
    <row r="19" customFormat="false" ht="27.75" hidden="false" customHeight="true" outlineLevel="0" collapsed="false">
      <c r="B19" s="33" t="s">
        <v>50</v>
      </c>
      <c r="C19" s="33"/>
    </row>
    <row r="21" customFormat="false" ht="15" hidden="false" customHeight="false" outlineLevel="0" collapsed="false">
      <c r="B21" s="34" t="s">
        <v>51</v>
      </c>
    </row>
    <row r="22" customFormat="false" ht="27.75" hidden="false" customHeight="true" outlineLevel="0" collapsed="false">
      <c r="B22" s="33" t="s">
        <v>52</v>
      </c>
      <c r="C22" s="33"/>
    </row>
    <row r="23" customFormat="false" ht="27.75" hidden="false" customHeight="true" outlineLevel="0" collapsed="false">
      <c r="B23" s="33" t="s">
        <v>53</v>
      </c>
      <c r="C23" s="33"/>
    </row>
    <row r="24" customFormat="false" ht="27.75" hidden="false" customHeight="true" outlineLevel="0" collapsed="false">
      <c r="B24" s="33" t="s">
        <v>54</v>
      </c>
      <c r="C24" s="33"/>
    </row>
    <row r="25" customFormat="false" ht="27.75" hidden="false" customHeight="true" outlineLevel="0" collapsed="false">
      <c r="B25" s="33" t="s">
        <v>55</v>
      </c>
      <c r="C25" s="33"/>
    </row>
  </sheetData>
  <mergeCells count="15">
    <mergeCell ref="A1:C1"/>
    <mergeCell ref="B4:C4"/>
    <mergeCell ref="B7:C7"/>
    <mergeCell ref="B8:C8"/>
    <mergeCell ref="B9:C9"/>
    <mergeCell ref="B10:C10"/>
    <mergeCell ref="B13:C13"/>
    <mergeCell ref="B14:C14"/>
    <mergeCell ref="B15:C15"/>
    <mergeCell ref="B18:C18"/>
    <mergeCell ref="B19:C19"/>
    <mergeCell ref="B22:C22"/>
    <mergeCell ref="B23:C23"/>
    <mergeCell ref="B24:C24"/>
    <mergeCell ref="B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0A6"/>
    <pageSetUpPr fitToPage="false"/>
  </sheetPr>
  <dimension ref="A1:U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1" min="1" style="0" width="20"/>
  </cols>
  <sheetData>
    <row r="1" customFormat="false" ht="30" hidden="false" customHeight="true" outlineLevel="0" collapsed="false">
      <c r="A1" s="35" t="s">
        <v>56</v>
      </c>
      <c r="B1" s="35" t="s">
        <v>57</v>
      </c>
      <c r="C1" s="35" t="s">
        <v>58</v>
      </c>
      <c r="D1" s="35" t="s">
        <v>59</v>
      </c>
      <c r="E1" s="35" t="s">
        <v>60</v>
      </c>
      <c r="F1" s="35" t="s">
        <v>61</v>
      </c>
      <c r="G1" s="35" t="s">
        <v>62</v>
      </c>
      <c r="H1" s="35" t="s">
        <v>63</v>
      </c>
      <c r="I1" s="35" t="s">
        <v>64</v>
      </c>
      <c r="J1" s="35" t="s">
        <v>65</v>
      </c>
      <c r="K1" s="35" t="s">
        <v>66</v>
      </c>
      <c r="L1" s="35" t="s">
        <v>67</v>
      </c>
      <c r="M1" s="35" t="s">
        <v>68</v>
      </c>
      <c r="N1" s="35" t="s">
        <v>69</v>
      </c>
      <c r="O1" s="35" t="s">
        <v>70</v>
      </c>
      <c r="P1" s="35" t="s">
        <v>71</v>
      </c>
      <c r="Q1" s="35" t="s">
        <v>72</v>
      </c>
      <c r="R1" s="35" t="s">
        <v>73</v>
      </c>
      <c r="S1" s="35" t="s">
        <v>74</v>
      </c>
      <c r="T1" s="35" t="s">
        <v>75</v>
      </c>
      <c r="U1" s="35" t="s">
        <v>76</v>
      </c>
    </row>
    <row r="2" customFormat="false" ht="15" hidden="false" customHeight="false" outlineLevel="0" collapsed="false">
      <c r="A2" s="36" t="s">
        <v>77</v>
      </c>
      <c r="B2" s="36" t="s">
        <v>78</v>
      </c>
      <c r="C2" s="36" t="s">
        <v>79</v>
      </c>
      <c r="D2" s="36" t="s">
        <v>80</v>
      </c>
      <c r="E2" s="36" t="s">
        <v>81</v>
      </c>
      <c r="F2" s="36" t="s">
        <v>82</v>
      </c>
      <c r="G2" s="36" t="s">
        <v>83</v>
      </c>
      <c r="H2" s="36" t="s">
        <v>84</v>
      </c>
      <c r="I2" s="36" t="s">
        <v>85</v>
      </c>
      <c r="J2" s="36" t="s">
        <v>86</v>
      </c>
      <c r="K2" s="36" t="s">
        <v>18</v>
      </c>
      <c r="L2" s="36" t="s">
        <v>87</v>
      </c>
      <c r="M2" s="36" t="s">
        <v>88</v>
      </c>
      <c r="N2" s="36" t="s">
        <v>89</v>
      </c>
      <c r="O2" s="36" t="s">
        <v>90</v>
      </c>
      <c r="P2" s="36" t="s">
        <v>91</v>
      </c>
      <c r="Q2" s="36" t="s">
        <v>18</v>
      </c>
      <c r="R2" s="36" t="s">
        <v>92</v>
      </c>
      <c r="S2" s="36" t="s">
        <v>93</v>
      </c>
      <c r="T2" s="36" t="s">
        <v>94</v>
      </c>
      <c r="U2" s="36" t="s">
        <v>95</v>
      </c>
    </row>
    <row r="3" customFormat="false" ht="15" hidden="false" customHeight="false" outlineLevel="0" collapsed="false">
      <c r="A3" s="36" t="s">
        <v>96</v>
      </c>
      <c r="B3" s="36" t="s">
        <v>97</v>
      </c>
      <c r="C3" s="36" t="s">
        <v>98</v>
      </c>
      <c r="D3" s="36" t="s">
        <v>99</v>
      </c>
      <c r="E3" s="36" t="s">
        <v>100</v>
      </c>
      <c r="F3" s="36" t="s">
        <v>101</v>
      </c>
      <c r="G3" s="36" t="s">
        <v>102</v>
      </c>
      <c r="H3" s="36" t="s">
        <v>80</v>
      </c>
      <c r="I3" s="36" t="s">
        <v>103</v>
      </c>
      <c r="J3" s="36" t="s">
        <v>104</v>
      </c>
      <c r="K3" s="36" t="s">
        <v>105</v>
      </c>
      <c r="L3" s="36" t="s">
        <v>97</v>
      </c>
      <c r="M3" s="36" t="s">
        <v>106</v>
      </c>
      <c r="N3" s="36" t="s">
        <v>105</v>
      </c>
      <c r="O3" s="36" t="s">
        <v>107</v>
      </c>
      <c r="P3" s="36" t="s">
        <v>108</v>
      </c>
      <c r="Q3" s="36" t="s">
        <v>19</v>
      </c>
      <c r="R3" s="36" t="s">
        <v>109</v>
      </c>
      <c r="S3" s="36" t="s">
        <v>19</v>
      </c>
      <c r="T3" s="36" t="s">
        <v>110</v>
      </c>
      <c r="U3" s="36" t="s">
        <v>111</v>
      </c>
    </row>
    <row r="4" customFormat="false" ht="15" hidden="false" customHeight="false" outlineLevel="0" collapsed="false">
      <c r="A4" s="36" t="s">
        <v>112</v>
      </c>
      <c r="B4" s="36" t="s">
        <v>113</v>
      </c>
      <c r="C4" s="36" t="s">
        <v>114</v>
      </c>
      <c r="D4" s="36" t="s">
        <v>115</v>
      </c>
      <c r="F4" s="36" t="s">
        <v>116</v>
      </c>
      <c r="G4" s="36" t="s">
        <v>117</v>
      </c>
      <c r="H4" s="36" t="s">
        <v>118</v>
      </c>
      <c r="I4" s="36" t="s">
        <v>119</v>
      </c>
      <c r="J4" s="36" t="s">
        <v>120</v>
      </c>
      <c r="K4" s="36" t="s">
        <v>121</v>
      </c>
      <c r="L4" s="36" t="s">
        <v>122</v>
      </c>
      <c r="M4" s="36" t="s">
        <v>123</v>
      </c>
      <c r="N4" s="36" t="s">
        <v>124</v>
      </c>
      <c r="O4" s="36" t="s">
        <v>125</v>
      </c>
      <c r="P4" s="36" t="s">
        <v>126</v>
      </c>
      <c r="Q4" s="36" t="s">
        <v>24</v>
      </c>
      <c r="R4" s="36" t="s">
        <v>127</v>
      </c>
      <c r="S4" s="36" t="s">
        <v>128</v>
      </c>
      <c r="T4" s="36" t="s">
        <v>129</v>
      </c>
      <c r="U4" s="36" t="s">
        <v>130</v>
      </c>
    </row>
    <row r="5" customFormat="false" ht="15" hidden="false" customHeight="false" outlineLevel="0" collapsed="false">
      <c r="A5" s="36" t="s">
        <v>131</v>
      </c>
      <c r="B5" s="36" t="s">
        <v>132</v>
      </c>
      <c r="C5" s="36" t="s">
        <v>133</v>
      </c>
      <c r="F5" s="36" t="s">
        <v>134</v>
      </c>
      <c r="G5" s="36" t="s">
        <v>135</v>
      </c>
      <c r="I5" s="36" t="s">
        <v>136</v>
      </c>
      <c r="J5" s="36" t="s">
        <v>137</v>
      </c>
      <c r="K5" s="36" t="s">
        <v>138</v>
      </c>
      <c r="L5" s="36" t="s">
        <v>139</v>
      </c>
      <c r="M5" s="36" t="s">
        <v>140</v>
      </c>
      <c r="N5" s="36" t="s">
        <v>141</v>
      </c>
      <c r="O5" s="36" t="s">
        <v>142</v>
      </c>
      <c r="R5" s="36" t="s">
        <v>143</v>
      </c>
      <c r="T5" s="36" t="s">
        <v>144</v>
      </c>
      <c r="U5" s="36" t="s">
        <v>145</v>
      </c>
    </row>
    <row r="6" customFormat="false" ht="15" hidden="false" customHeight="false" outlineLevel="0" collapsed="false">
      <c r="A6" s="36" t="s">
        <v>146</v>
      </c>
      <c r="B6" s="36" t="s">
        <v>147</v>
      </c>
      <c r="C6" s="36" t="s">
        <v>148</v>
      </c>
      <c r="F6" s="36" t="s">
        <v>149</v>
      </c>
      <c r="G6" s="36" t="s">
        <v>150</v>
      </c>
      <c r="I6" s="36" t="s">
        <v>151</v>
      </c>
      <c r="J6" s="36" t="s">
        <v>122</v>
      </c>
      <c r="K6" s="36" t="s">
        <v>152</v>
      </c>
      <c r="L6" s="36" t="s">
        <v>153</v>
      </c>
      <c r="M6" s="36" t="s">
        <v>154</v>
      </c>
      <c r="O6" s="36" t="s">
        <v>155</v>
      </c>
      <c r="R6" s="36" t="s">
        <v>156</v>
      </c>
      <c r="T6" s="36" t="s">
        <v>157</v>
      </c>
      <c r="U6" s="36" t="s">
        <v>158</v>
      </c>
    </row>
    <row r="7" customFormat="false" ht="15" hidden="false" customHeight="false" outlineLevel="0" collapsed="false">
      <c r="A7" s="36" t="s">
        <v>159</v>
      </c>
      <c r="B7" s="36" t="s">
        <v>137</v>
      </c>
      <c r="F7" s="36" t="s">
        <v>160</v>
      </c>
      <c r="I7" s="36" t="s">
        <v>161</v>
      </c>
      <c r="J7" s="36" t="s">
        <v>162</v>
      </c>
      <c r="K7" s="36" t="s">
        <v>24</v>
      </c>
      <c r="L7" s="36" t="s">
        <v>163</v>
      </c>
      <c r="O7" s="36" t="s">
        <v>164</v>
      </c>
      <c r="R7" s="36" t="s">
        <v>165</v>
      </c>
      <c r="T7" s="36" t="s">
        <v>166</v>
      </c>
      <c r="U7" s="36" t="s">
        <v>167</v>
      </c>
    </row>
    <row r="8" customFormat="false" ht="15" hidden="false" customHeight="false" outlineLevel="0" collapsed="false">
      <c r="A8" s="36" t="s">
        <v>168</v>
      </c>
      <c r="B8" s="36" t="s">
        <v>155</v>
      </c>
      <c r="I8" s="36" t="s">
        <v>169</v>
      </c>
      <c r="J8" s="36" t="s">
        <v>170</v>
      </c>
      <c r="O8" s="36" t="s">
        <v>163</v>
      </c>
      <c r="R8" s="36" t="s">
        <v>171</v>
      </c>
      <c r="T8" s="36" t="s">
        <v>172</v>
      </c>
      <c r="U8" s="36" t="s">
        <v>173</v>
      </c>
    </row>
    <row r="9" customFormat="false" ht="15" hidden="false" customHeight="false" outlineLevel="0" collapsed="false">
      <c r="A9" s="36" t="s">
        <v>174</v>
      </c>
      <c r="B9" s="36" t="s">
        <v>175</v>
      </c>
      <c r="I9" s="36" t="s">
        <v>176</v>
      </c>
      <c r="T9" s="36" t="s">
        <v>177</v>
      </c>
    </row>
    <row r="10" customFormat="false" ht="15" hidden="false" customHeight="false" outlineLevel="0" collapsed="false">
      <c r="A10" s="36" t="s">
        <v>163</v>
      </c>
      <c r="B10" s="36" t="s">
        <v>178</v>
      </c>
    </row>
    <row r="11" customFormat="false" ht="15" hidden="false" customHeight="false" outlineLevel="0" collapsed="false">
      <c r="B11" s="36" t="s">
        <v>179</v>
      </c>
    </row>
    <row r="12" customFormat="false" ht="15" hidden="false" customHeight="false" outlineLevel="0" collapsed="false">
      <c r="B12" s="36" t="s">
        <v>122</v>
      </c>
    </row>
    <row r="13" customFormat="false" ht="15" hidden="false" customHeight="false" outlineLevel="0" collapsed="false">
      <c r="B13" s="36" t="s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1735"/>
    <pageSetUpPr fitToPage="false"/>
  </sheetPr>
  <dimension ref="A1:D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4" min="3" style="0" width="22"/>
    <col collapsed="false" customWidth="true" hidden="false" outlineLevel="0" max="5" min="5" style="0" width="4"/>
  </cols>
  <sheetData>
    <row r="1" customFormat="false" ht="27.75" hidden="false" customHeight="true" outlineLevel="0" collapsed="false">
      <c r="A1" s="31" t="s">
        <v>181</v>
      </c>
      <c r="B1" s="31"/>
      <c r="C1" s="31"/>
      <c r="D1" s="31"/>
    </row>
    <row r="3" customFormat="false" ht="15" hidden="false" customHeight="false" outlineLevel="0" collapsed="false">
      <c r="A3" s="37" t="s">
        <v>182</v>
      </c>
      <c r="B3" s="37"/>
      <c r="C3" s="37"/>
      <c r="D3" s="37"/>
    </row>
    <row r="4" customFormat="false" ht="15" hidden="false" customHeight="false" outlineLevel="0" collapsed="false">
      <c r="A4" s="38" t="s">
        <v>183</v>
      </c>
      <c r="B4" s="39"/>
    </row>
    <row r="5" customFormat="false" ht="15" hidden="false" customHeight="false" outlineLevel="0" collapsed="false">
      <c r="A5" s="38" t="s">
        <v>184</v>
      </c>
      <c r="B5" s="39"/>
    </row>
    <row r="6" customFormat="false" ht="15" hidden="false" customHeight="false" outlineLevel="0" collapsed="false">
      <c r="A6" s="38" t="s">
        <v>185</v>
      </c>
      <c r="B6" s="40"/>
    </row>
    <row r="7" customFormat="false" ht="15" hidden="false" customHeight="false" outlineLevel="0" collapsed="false">
      <c r="A7" s="38" t="s">
        <v>186</v>
      </c>
      <c r="B7" s="40"/>
    </row>
    <row r="8" customFormat="false" ht="15" hidden="false" customHeight="false" outlineLevel="0" collapsed="false">
      <c r="A8" s="38" t="s">
        <v>90</v>
      </c>
      <c r="B8" s="39"/>
    </row>
    <row r="9" customFormat="false" ht="15" hidden="false" customHeight="false" outlineLevel="0" collapsed="false">
      <c r="A9" s="38" t="s">
        <v>187</v>
      </c>
      <c r="B9" s="39"/>
      <c r="C9" s="41" t="str">
        <f aca="false">IF(B9="","",HYPERLINK("https://www.google.com/maps/search/?api=1&amp;query="&amp;SUBSTITUTE(B9," ","+"),"📍 Open in Maps"))</f>
        <v/>
      </c>
    </row>
    <row r="11" customFormat="false" ht="15" hidden="false" customHeight="false" outlineLevel="0" collapsed="false">
      <c r="A11" s="37" t="s">
        <v>188</v>
      </c>
      <c r="B11" s="37"/>
      <c r="C11" s="37"/>
      <c r="D11" s="37"/>
    </row>
    <row r="12" customFormat="false" ht="15" hidden="false" customHeight="false" outlineLevel="0" collapsed="false">
      <c r="A12" s="42" t="s">
        <v>189</v>
      </c>
      <c r="B12" s="42" t="s">
        <v>190</v>
      </c>
      <c r="C12" s="42" t="s">
        <v>191</v>
      </c>
      <c r="D12" s="42" t="s">
        <v>192</v>
      </c>
    </row>
    <row r="13" customFormat="false" ht="15" hidden="false" customHeight="false" outlineLevel="0" collapsed="false">
      <c r="A13" s="43" t="s">
        <v>193</v>
      </c>
      <c r="B13" s="43" t="s">
        <v>77</v>
      </c>
      <c r="C13" s="43" t="s">
        <v>194</v>
      </c>
      <c r="D13" s="43" t="s">
        <v>195</v>
      </c>
    </row>
    <row r="14" customFormat="false" ht="15" hidden="false" customHeight="false" outlineLevel="0" collapsed="false">
      <c r="A14" s="39"/>
      <c r="B14" s="39"/>
      <c r="C14" s="39"/>
      <c r="D14" s="39"/>
    </row>
    <row r="15" customFormat="false" ht="15" hidden="false" customHeight="false" outlineLevel="0" collapsed="false">
      <c r="A15" s="39"/>
      <c r="B15" s="39"/>
      <c r="C15" s="39"/>
      <c r="D15" s="39"/>
    </row>
    <row r="16" customFormat="false" ht="15" hidden="false" customHeight="false" outlineLevel="0" collapsed="false">
      <c r="A16" s="39"/>
      <c r="B16" s="39"/>
      <c r="C16" s="39"/>
      <c r="D16" s="39"/>
    </row>
    <row r="17" customFormat="false" ht="15" hidden="false" customHeight="false" outlineLevel="0" collapsed="false">
      <c r="A17" s="39"/>
      <c r="B17" s="39"/>
      <c r="C17" s="39"/>
      <c r="D17" s="39"/>
    </row>
    <row r="19" customFormat="false" ht="15" hidden="false" customHeight="false" outlineLevel="0" collapsed="false">
      <c r="A19" s="37" t="s">
        <v>196</v>
      </c>
      <c r="B19" s="37"/>
      <c r="C19" s="37"/>
      <c r="D19" s="37"/>
    </row>
    <row r="20" customFormat="false" ht="15" hidden="false" customHeight="false" outlineLevel="0" collapsed="false">
      <c r="A20" s="42" t="s">
        <v>197</v>
      </c>
      <c r="B20" s="42" t="s">
        <v>191</v>
      </c>
      <c r="C20" s="42" t="s">
        <v>192</v>
      </c>
      <c r="D20" s="42"/>
    </row>
    <row r="21" customFormat="false" ht="15" hidden="false" customHeight="false" outlineLevel="0" collapsed="false">
      <c r="A21" s="43" t="s">
        <v>198</v>
      </c>
      <c r="B21" s="43" t="s">
        <v>199</v>
      </c>
      <c r="C21" s="43" t="s">
        <v>200</v>
      </c>
      <c r="D21" s="43"/>
    </row>
    <row r="22" customFormat="false" ht="15" hidden="false" customHeight="false" outlineLevel="0" collapsed="false">
      <c r="A22" s="39"/>
      <c r="B22" s="39"/>
      <c r="C22" s="39"/>
      <c r="D22" s="39"/>
    </row>
    <row r="23" customFormat="false" ht="15" hidden="false" customHeight="false" outlineLevel="0" collapsed="false">
      <c r="A23" s="39"/>
      <c r="B23" s="39"/>
      <c r="C23" s="39"/>
      <c r="D23" s="39"/>
    </row>
    <row r="24" customFormat="false" ht="15" hidden="false" customHeight="false" outlineLevel="0" collapsed="false">
      <c r="A24" s="39"/>
      <c r="B24" s="39"/>
      <c r="C24" s="39"/>
      <c r="D24" s="39"/>
    </row>
    <row r="25" customFormat="false" ht="15" hidden="false" customHeight="false" outlineLevel="0" collapsed="false">
      <c r="A25" s="39"/>
      <c r="B25" s="39"/>
      <c r="C25" s="39"/>
      <c r="D25" s="39"/>
    </row>
    <row r="27" customFormat="false" ht="15" hidden="false" customHeight="false" outlineLevel="0" collapsed="false">
      <c r="A27" s="37" t="s">
        <v>201</v>
      </c>
      <c r="B27" s="37"/>
      <c r="C27" s="37"/>
      <c r="D27" s="37"/>
    </row>
    <row r="28" customFormat="false" ht="15" hidden="false" customHeight="false" outlineLevel="0" collapsed="false">
      <c r="A28" s="42" t="s">
        <v>202</v>
      </c>
      <c r="B28" s="42" t="s">
        <v>203</v>
      </c>
      <c r="C28" s="42" t="s">
        <v>204</v>
      </c>
      <c r="D28" s="42"/>
    </row>
    <row r="29" customFormat="false" ht="15" hidden="false" customHeight="false" outlineLevel="0" collapsed="false">
      <c r="A29" s="44" t="n">
        <v>46235</v>
      </c>
      <c r="B29" s="43" t="s">
        <v>205</v>
      </c>
      <c r="C29" s="43" t="s">
        <v>206</v>
      </c>
      <c r="D29" s="39"/>
    </row>
    <row r="30" customFormat="false" ht="15" hidden="false" customHeight="false" outlineLevel="0" collapsed="false">
      <c r="A30" s="39"/>
      <c r="B30" s="39"/>
      <c r="C30" s="39"/>
      <c r="D30" s="39"/>
    </row>
    <row r="31" customFormat="false" ht="15" hidden="false" customHeight="false" outlineLevel="0" collapsed="false">
      <c r="A31" s="39"/>
      <c r="B31" s="39"/>
      <c r="C31" s="39"/>
      <c r="D31" s="39"/>
    </row>
    <row r="33" customFormat="false" ht="15" hidden="false" customHeight="false" outlineLevel="0" collapsed="false">
      <c r="A33" s="37" t="s">
        <v>192</v>
      </c>
      <c r="B33" s="37"/>
      <c r="C33" s="37"/>
      <c r="D33" s="37"/>
    </row>
    <row r="34" customFormat="false" ht="15" hidden="false" customHeight="false" outlineLevel="0" collapsed="false">
      <c r="A34" s="45"/>
      <c r="B34" s="45"/>
      <c r="C34" s="45"/>
      <c r="D34" s="45"/>
    </row>
    <row r="35" customFormat="false" ht="15" hidden="false" customHeight="false" outlineLevel="0" collapsed="false">
      <c r="A35" s="45"/>
      <c r="B35" s="45"/>
      <c r="C35" s="45"/>
      <c r="D35" s="45"/>
    </row>
    <row r="36" customFormat="false" ht="15" hidden="false" customHeight="false" outlineLevel="0" collapsed="false">
      <c r="A36" s="45"/>
      <c r="B36" s="45"/>
      <c r="C36" s="45"/>
      <c r="D36" s="45"/>
    </row>
    <row r="37" customFormat="false" ht="15" hidden="false" customHeight="false" outlineLevel="0" collapsed="false">
      <c r="A37" s="45"/>
      <c r="B37" s="45"/>
      <c r="C37" s="45"/>
      <c r="D37" s="45"/>
    </row>
  </sheetData>
  <mergeCells count="7">
    <mergeCell ref="A1:D1"/>
    <mergeCell ref="A3:D3"/>
    <mergeCell ref="A11:D11"/>
    <mergeCell ref="A19:D19"/>
    <mergeCell ref="A27:D27"/>
    <mergeCell ref="A33:D33"/>
    <mergeCell ref="A34:D37"/>
  </mergeCells>
  <dataValidations count="1">
    <dataValidation allowBlank="true" error="Please enter a valid date." errorStyle="stop" errorTitle="Invalid date" operator="between" showDropDown="false" showErrorMessage="true" showInputMessage="false" sqref="B6:B7 A29:A31" type="date">
      <formula1>32874</formula1>
      <formula2>73415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A3771"/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27.75" hidden="false" customHeight="true" outlineLevel="0" collapsed="false">
      <c r="A1" s="31" t="s">
        <v>207</v>
      </c>
      <c r="B1" s="31"/>
      <c r="C1" s="31"/>
      <c r="D1" s="31"/>
      <c r="E1" s="31"/>
      <c r="F1" s="31"/>
    </row>
    <row r="3" customFormat="false" ht="30" hidden="false" customHeight="true" outlineLevel="0" collapsed="false">
      <c r="A3" s="42" t="s">
        <v>208</v>
      </c>
      <c r="B3" s="42" t="s">
        <v>209</v>
      </c>
      <c r="C3" s="42" t="s">
        <v>210</v>
      </c>
      <c r="D3" s="42" t="s">
        <v>211</v>
      </c>
      <c r="E3" s="42" t="s">
        <v>212</v>
      </c>
      <c r="F3" s="42" t="s">
        <v>213</v>
      </c>
    </row>
    <row r="4" customFormat="false" ht="15" hidden="false" customHeight="false" outlineLevel="0" collapsed="false">
      <c r="A4" s="39" t="s">
        <v>78</v>
      </c>
      <c r="B4" s="46" t="n">
        <v>0</v>
      </c>
      <c r="C4" s="47" t="n">
        <f aca="false">SUMIF('🧾 Expenses'!$C:$C,A4,'🧾 Expenses'!$F:$F)</f>
        <v>50000</v>
      </c>
      <c r="D4" s="47" t="n">
        <f aca="false">B4-C4</f>
        <v>-50000</v>
      </c>
      <c r="E4" s="48" t="str">
        <f aca="false">IF(B4=0,"—",IF(D4&lt;0,"⚠️ Over Budget",IF(D4=0,"On Budget","✅ Under Budget")))</f>
        <v>—</v>
      </c>
      <c r="F4" s="49" t="n">
        <f aca="false">IF(B4=0,0,C4/B4)</f>
        <v>0</v>
      </c>
    </row>
    <row r="5" customFormat="false" ht="15" hidden="false" customHeight="false" outlineLevel="0" collapsed="false">
      <c r="A5" s="39" t="s">
        <v>97</v>
      </c>
      <c r="B5" s="46" t="n">
        <v>0</v>
      </c>
      <c r="C5" s="47" t="n">
        <f aca="false">SUMIF('🧾 Expenses'!$C:$C,A5,'🧾 Expenses'!$F:$F)</f>
        <v>0</v>
      </c>
      <c r="D5" s="47" t="n">
        <f aca="false">B5-C5</f>
        <v>0</v>
      </c>
      <c r="E5" s="48" t="str">
        <f aca="false">IF(B5=0,"—",IF(D5&lt;0,"⚠️ Over Budget",IF(D5=0,"On Budget","✅ Under Budget")))</f>
        <v>—</v>
      </c>
      <c r="F5" s="49" t="n">
        <f aca="false">IF(B5=0,0,C5/B5)</f>
        <v>0</v>
      </c>
    </row>
    <row r="6" customFormat="false" ht="15" hidden="false" customHeight="false" outlineLevel="0" collapsed="false">
      <c r="A6" s="39" t="s">
        <v>113</v>
      </c>
      <c r="B6" s="46" t="n">
        <v>0</v>
      </c>
      <c r="C6" s="47" t="n">
        <f aca="false">SUMIF('🧾 Expenses'!$C:$C,A6,'🧾 Expenses'!$F:$F)</f>
        <v>0</v>
      </c>
      <c r="D6" s="47" t="n">
        <f aca="false">B6-C6</f>
        <v>0</v>
      </c>
      <c r="E6" s="48" t="str">
        <f aca="false">IF(B6=0,"—",IF(D6&lt;0,"⚠️ Over Budget",IF(D6=0,"On Budget","✅ Under Budget")))</f>
        <v>—</v>
      </c>
      <c r="F6" s="49" t="n">
        <f aca="false">IF(B6=0,0,C6/B6)</f>
        <v>0</v>
      </c>
    </row>
    <row r="7" customFormat="false" ht="15" hidden="false" customHeight="false" outlineLevel="0" collapsed="false">
      <c r="A7" s="39" t="s">
        <v>132</v>
      </c>
      <c r="B7" s="46" t="n">
        <v>0</v>
      </c>
      <c r="C7" s="47" t="n">
        <f aca="false">SUMIF('🧾 Expenses'!$C:$C,A7,'🧾 Expenses'!$F:$F)</f>
        <v>0</v>
      </c>
      <c r="D7" s="47" t="n">
        <f aca="false">B7-C7</f>
        <v>0</v>
      </c>
      <c r="E7" s="48" t="str">
        <f aca="false">IF(B7=0,"—",IF(D7&lt;0,"⚠️ Over Budget",IF(D7=0,"On Budget","✅ Under Budget")))</f>
        <v>—</v>
      </c>
      <c r="F7" s="49" t="n">
        <f aca="false">IF(B7=0,0,C7/B7)</f>
        <v>0</v>
      </c>
    </row>
    <row r="8" customFormat="false" ht="15" hidden="false" customHeight="false" outlineLevel="0" collapsed="false">
      <c r="A8" s="39" t="s">
        <v>147</v>
      </c>
      <c r="B8" s="46" t="n">
        <v>0</v>
      </c>
      <c r="C8" s="47" t="n">
        <f aca="false">SUMIF('🧾 Expenses'!$C:$C,A8,'🧾 Expenses'!$F:$F)</f>
        <v>0</v>
      </c>
      <c r="D8" s="47" t="n">
        <f aca="false">B8-C8</f>
        <v>0</v>
      </c>
      <c r="E8" s="48" t="str">
        <f aca="false">IF(B8=0,"—",IF(D8&lt;0,"⚠️ Over Budget",IF(D8=0,"On Budget","✅ Under Budget")))</f>
        <v>—</v>
      </c>
      <c r="F8" s="49" t="n">
        <f aca="false">IF(B8=0,0,C8/B8)</f>
        <v>0</v>
      </c>
    </row>
    <row r="9" customFormat="false" ht="15" hidden="false" customHeight="false" outlineLevel="0" collapsed="false">
      <c r="A9" s="39" t="s">
        <v>137</v>
      </c>
      <c r="B9" s="46" t="n">
        <v>0</v>
      </c>
      <c r="C9" s="47" t="n">
        <f aca="false">SUMIF('🧾 Expenses'!$C:$C,A9,'🧾 Expenses'!$F:$F)</f>
        <v>0</v>
      </c>
      <c r="D9" s="47" t="n">
        <f aca="false">B9-C9</f>
        <v>0</v>
      </c>
      <c r="E9" s="48" t="str">
        <f aca="false">IF(B9=0,"—",IF(D9&lt;0,"⚠️ Over Budget",IF(D9=0,"On Budget","✅ Under Budget")))</f>
        <v>—</v>
      </c>
      <c r="F9" s="49" t="n">
        <f aca="false">IF(B9=0,0,C9/B9)</f>
        <v>0</v>
      </c>
    </row>
    <row r="10" customFormat="false" ht="15" hidden="false" customHeight="false" outlineLevel="0" collapsed="false">
      <c r="A10" s="39" t="s">
        <v>155</v>
      </c>
      <c r="B10" s="46" t="n">
        <v>0</v>
      </c>
      <c r="C10" s="47" t="n">
        <f aca="false">SUMIF('🧾 Expenses'!$C:$C,A10,'🧾 Expenses'!$F:$F)</f>
        <v>0</v>
      </c>
      <c r="D10" s="47" t="n">
        <f aca="false">B10-C10</f>
        <v>0</v>
      </c>
      <c r="E10" s="48" t="str">
        <f aca="false">IF(B10=0,"—",IF(D10&lt;0,"⚠️ Over Budget",IF(D10=0,"On Budget","✅ Under Budget")))</f>
        <v>—</v>
      </c>
      <c r="F10" s="49" t="n">
        <f aca="false">IF(B10=0,0,C10/B10)</f>
        <v>0</v>
      </c>
    </row>
    <row r="11" customFormat="false" ht="15" hidden="false" customHeight="false" outlineLevel="0" collapsed="false">
      <c r="A11" s="39" t="s">
        <v>175</v>
      </c>
      <c r="B11" s="46" t="n">
        <v>0</v>
      </c>
      <c r="C11" s="47" t="n">
        <f aca="false">SUMIF('🧾 Expenses'!$C:$C,A11,'🧾 Expenses'!$F:$F)</f>
        <v>0</v>
      </c>
      <c r="D11" s="47" t="n">
        <f aca="false">B11-C11</f>
        <v>0</v>
      </c>
      <c r="E11" s="48" t="str">
        <f aca="false">IF(B11=0,"—",IF(D11&lt;0,"⚠️ Over Budget",IF(D11=0,"On Budget","✅ Under Budget")))</f>
        <v>—</v>
      </c>
      <c r="F11" s="49" t="n">
        <f aca="false">IF(B11=0,0,C11/B11)</f>
        <v>0</v>
      </c>
    </row>
    <row r="12" customFormat="false" ht="15" hidden="false" customHeight="false" outlineLevel="0" collapsed="false">
      <c r="A12" s="39" t="s">
        <v>178</v>
      </c>
      <c r="B12" s="46" t="n">
        <v>0</v>
      </c>
      <c r="C12" s="47" t="n">
        <f aca="false">SUMIF('🧾 Expenses'!$C:$C,A12,'🧾 Expenses'!$F:$F)</f>
        <v>0</v>
      </c>
      <c r="D12" s="47" t="n">
        <f aca="false">B12-C12</f>
        <v>0</v>
      </c>
      <c r="E12" s="48" t="str">
        <f aca="false">IF(B12=0,"—",IF(D12&lt;0,"⚠️ Over Budget",IF(D12=0,"On Budget","✅ Under Budget")))</f>
        <v>—</v>
      </c>
      <c r="F12" s="49" t="n">
        <f aca="false">IF(B12=0,0,C12/B12)</f>
        <v>0</v>
      </c>
    </row>
    <row r="13" customFormat="false" ht="15" hidden="false" customHeight="false" outlineLevel="0" collapsed="false">
      <c r="A13" s="39" t="s">
        <v>179</v>
      </c>
      <c r="B13" s="46" t="n">
        <v>0</v>
      </c>
      <c r="C13" s="47" t="n">
        <f aca="false">SUMIF('🧾 Expenses'!$C:$C,A13,'🧾 Expenses'!$F:$F)</f>
        <v>0</v>
      </c>
      <c r="D13" s="47" t="n">
        <f aca="false">B13-C13</f>
        <v>0</v>
      </c>
      <c r="E13" s="48" t="str">
        <f aca="false">IF(B13=0,"—",IF(D13&lt;0,"⚠️ Over Budget",IF(D13=0,"On Budget","✅ Under Budget")))</f>
        <v>—</v>
      </c>
      <c r="F13" s="49" t="n">
        <f aca="false">IF(B13=0,0,C13/B13)</f>
        <v>0</v>
      </c>
    </row>
    <row r="14" customFormat="false" ht="15" hidden="false" customHeight="false" outlineLevel="0" collapsed="false">
      <c r="A14" s="39" t="s">
        <v>122</v>
      </c>
      <c r="B14" s="46" t="n">
        <v>0</v>
      </c>
      <c r="C14" s="47" t="n">
        <f aca="false">SUMIF('🧾 Expenses'!$C:$C,A14,'🧾 Expenses'!$F:$F)</f>
        <v>0</v>
      </c>
      <c r="D14" s="47" t="n">
        <f aca="false">B14-C14</f>
        <v>0</v>
      </c>
      <c r="E14" s="48" t="str">
        <f aca="false">IF(B14=0,"—",IF(D14&lt;0,"⚠️ Over Budget",IF(D14=0,"On Budget","✅ Under Budget")))</f>
        <v>—</v>
      </c>
      <c r="F14" s="49" t="n">
        <f aca="false">IF(B14=0,0,C14/B14)</f>
        <v>0</v>
      </c>
    </row>
    <row r="15" customFormat="false" ht="15" hidden="false" customHeight="false" outlineLevel="0" collapsed="false">
      <c r="A15" s="39" t="s">
        <v>180</v>
      </c>
      <c r="B15" s="46" t="n">
        <v>0</v>
      </c>
      <c r="C15" s="47" t="n">
        <f aca="false">SUMIF('🧾 Expenses'!$C:$C,A15,'🧾 Expenses'!$F:$F)</f>
        <v>0</v>
      </c>
      <c r="D15" s="47" t="n">
        <f aca="false">B15-C15</f>
        <v>0</v>
      </c>
      <c r="E15" s="48" t="str">
        <f aca="false">IF(B15=0,"—",IF(D15&lt;0,"⚠️ Over Budget",IF(D15=0,"On Budget","✅ Under Budget")))</f>
        <v>—</v>
      </c>
      <c r="F15" s="49" t="n">
        <f aca="false">IF(B15=0,0,C15/B15)</f>
        <v>0</v>
      </c>
    </row>
    <row r="16" customFormat="false" ht="15" hidden="false" customHeight="false" outlineLevel="0" collapsed="false">
      <c r="A16" s="50" t="s">
        <v>214</v>
      </c>
      <c r="B16" s="51" t="n">
        <f aca="false">SUM(B4:B15)</f>
        <v>0</v>
      </c>
      <c r="C16" s="51" t="n">
        <f aca="false">SUM(C4:C15)</f>
        <v>50000</v>
      </c>
      <c r="D16" s="51" t="n">
        <f aca="false">SUM(D4:D15)</f>
        <v>-50000</v>
      </c>
      <c r="E16" s="52" t="str">
        <f aca="false">IF(D16&lt;0,"⚠️ Over Budget",IF(D16=0,"On Budget","✅ Under Budget"))</f>
        <v>⚠️ Over Budget</v>
      </c>
      <c r="F16" s="53" t="n">
        <f aca="false">IF(B16=0,0,C16/B16)</f>
        <v>0</v>
      </c>
    </row>
    <row r="18" customFormat="false" ht="15" hidden="false" customHeight="true" outlineLevel="0" collapsed="false">
      <c r="A18" s="54" t="s">
        <v>215</v>
      </c>
      <c r="B18" s="54"/>
      <c r="C18" s="54"/>
      <c r="D18" s="54"/>
      <c r="E18" s="54"/>
      <c r="F18" s="54"/>
    </row>
  </sheetData>
  <autoFilter ref="A3:F15"/>
  <mergeCells count="2">
    <mergeCell ref="A1:F1"/>
    <mergeCell ref="A18:F18"/>
  </mergeCells>
  <conditionalFormatting sqref="E4:E16">
    <cfRule type="expression" priority="2" aboveAverage="0" equalAverage="0" bottom="0" percent="0" rank="0" text="" dxfId="4">
      <formula>ISNUMBER(SEARCH("Over Budget",E4))</formula>
    </cfRule>
    <cfRule type="expression" priority="3" aboveAverage="0" equalAverage="0" bottom="0" percent="0" rank="0" text="" dxfId="5">
      <formula>ISNUMBER(SEARCH("Under Budget",E4))</formula>
    </cfRule>
    <cfRule type="expression" priority="4" aboveAverage="0" equalAverage="0" bottom="0" percent="0" rank="0" text="" dxfId="6">
      <formula>ISNUMBER(SEARCH("On Budget",E4))</formula>
    </cfRule>
  </conditionalFormatting>
  <conditionalFormatting sqref="F4:F16">
    <cfRule type="dataBar" priority="5">
      <dataBar showValue="1" minLength="10" maxLength="90">
        <cfvo type="num" val="0"/>
        <cfvo type="num" val="1"/>
        <color rgb="FFEA3771"/>
      </dataBar>
      <extLst>
        <ext xmlns:x14="http://schemas.microsoft.com/office/spreadsheetml/2009/9/main" uri="{B025F937-C7B1-47D3-B67F-A62EFF666E3E}">
          <x14:id>{10EA358D-A4AD-418D-8366-FFC68647A71C}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EA358D-A4AD-418D-8366-FFC68647A71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EA3771"/>
              <x14:axisColor rgb="FF000000"/>
            </x14:dataBar>
          </x14:cfRule>
          <xm:sqref>F4:F16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A3771"/>
    <pageSetUpPr fitToPage="false"/>
  </sheetPr>
  <dimension ref="A1:I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26"/>
  </cols>
  <sheetData>
    <row r="1" customFormat="false" ht="27.75" hidden="false" customHeight="true" outlineLevel="0" collapsed="false">
      <c r="A1" s="31" t="s">
        <v>216</v>
      </c>
      <c r="B1" s="31"/>
      <c r="C1" s="31"/>
      <c r="D1" s="31"/>
      <c r="E1" s="31"/>
      <c r="F1" s="31"/>
      <c r="G1" s="31"/>
      <c r="H1" s="31"/>
      <c r="I1" s="31"/>
    </row>
    <row r="3" customFormat="false" ht="31.5" hidden="false" customHeight="true" outlineLevel="0" collapsed="false">
      <c r="A3" s="42" t="s">
        <v>217</v>
      </c>
      <c r="B3" s="42" t="s">
        <v>202</v>
      </c>
      <c r="C3" s="42" t="s">
        <v>208</v>
      </c>
      <c r="D3" s="42" t="s">
        <v>218</v>
      </c>
      <c r="E3" s="42" t="s">
        <v>219</v>
      </c>
      <c r="F3" s="42" t="s">
        <v>220</v>
      </c>
      <c r="G3" s="42" t="s">
        <v>221</v>
      </c>
      <c r="H3" s="42" t="s">
        <v>58</v>
      </c>
      <c r="I3" s="42" t="s">
        <v>192</v>
      </c>
    </row>
    <row r="4" customFormat="false" ht="15" hidden="false" customHeight="false" outlineLevel="0" collapsed="false">
      <c r="A4" s="48" t="str">
        <f aca="false">IF(COUNTA(B4:I4)=0,"","E"&amp;TEXT(ROW()-3,"000"))</f>
        <v>E001</v>
      </c>
      <c r="B4" s="44" t="n">
        <v>46235</v>
      </c>
      <c r="C4" s="43" t="s">
        <v>78</v>
      </c>
      <c r="D4" s="43" t="s">
        <v>222</v>
      </c>
      <c r="E4" s="43" t="s">
        <v>223</v>
      </c>
      <c r="F4" s="55" t="n">
        <v>50000</v>
      </c>
      <c r="G4" s="43" t="s">
        <v>77</v>
      </c>
      <c r="H4" s="43" t="s">
        <v>133</v>
      </c>
      <c r="I4" s="43" t="s">
        <v>224</v>
      </c>
    </row>
    <row r="5" customFormat="false" ht="15" hidden="false" customHeight="false" outlineLevel="0" collapsed="false">
      <c r="A5" s="48" t="str">
        <f aca="false">IF(COUNTA(B5:I5)=0,"","E"&amp;TEXT(ROW()-3,"000"))</f>
        <v/>
      </c>
      <c r="B5" s="40"/>
      <c r="C5" s="39"/>
      <c r="D5" s="39"/>
      <c r="E5" s="39"/>
      <c r="F5" s="56"/>
      <c r="G5" s="39"/>
      <c r="H5" s="39"/>
      <c r="I5" s="39"/>
    </row>
    <row r="6" customFormat="false" ht="15" hidden="false" customHeight="false" outlineLevel="0" collapsed="false">
      <c r="A6" s="48" t="str">
        <f aca="false">IF(COUNTA(B6:I6)=0,"","E"&amp;TEXT(ROW()-3,"000"))</f>
        <v/>
      </c>
      <c r="B6" s="40"/>
      <c r="C6" s="39"/>
      <c r="D6" s="39"/>
      <c r="E6" s="39"/>
      <c r="F6" s="56"/>
      <c r="G6" s="39"/>
      <c r="H6" s="39"/>
      <c r="I6" s="39"/>
    </row>
    <row r="7" customFormat="false" ht="15" hidden="false" customHeight="false" outlineLevel="0" collapsed="false">
      <c r="A7" s="48" t="str">
        <f aca="false">IF(COUNTA(B7:I7)=0,"","E"&amp;TEXT(ROW()-3,"000"))</f>
        <v/>
      </c>
      <c r="B7" s="40"/>
      <c r="C7" s="39"/>
      <c r="D7" s="39"/>
      <c r="E7" s="39"/>
      <c r="F7" s="56"/>
      <c r="G7" s="39"/>
      <c r="H7" s="39"/>
      <c r="I7" s="39"/>
    </row>
    <row r="8" customFormat="false" ht="15" hidden="false" customHeight="false" outlineLevel="0" collapsed="false">
      <c r="A8" s="48" t="str">
        <f aca="false">IF(COUNTA(B8:I8)=0,"","E"&amp;TEXT(ROW()-3,"000"))</f>
        <v/>
      </c>
      <c r="B8" s="40"/>
      <c r="C8" s="39"/>
      <c r="D8" s="39"/>
      <c r="E8" s="39"/>
      <c r="F8" s="56"/>
      <c r="G8" s="39"/>
      <c r="H8" s="39"/>
      <c r="I8" s="39"/>
    </row>
    <row r="9" customFormat="false" ht="15" hidden="false" customHeight="false" outlineLevel="0" collapsed="false">
      <c r="A9" s="48" t="str">
        <f aca="false">IF(COUNTA(B9:I9)=0,"","E"&amp;TEXT(ROW()-3,"000"))</f>
        <v/>
      </c>
      <c r="B9" s="40"/>
      <c r="C9" s="39"/>
      <c r="D9" s="39"/>
      <c r="E9" s="39"/>
      <c r="F9" s="56"/>
      <c r="G9" s="39"/>
      <c r="H9" s="39"/>
      <c r="I9" s="39"/>
    </row>
    <row r="10" customFormat="false" ht="15" hidden="false" customHeight="false" outlineLevel="0" collapsed="false">
      <c r="A10" s="48" t="str">
        <f aca="false">IF(COUNTA(B10:I10)=0,"","E"&amp;TEXT(ROW()-3,"000"))</f>
        <v/>
      </c>
      <c r="B10" s="40"/>
      <c r="C10" s="39"/>
      <c r="D10" s="39"/>
      <c r="E10" s="39"/>
      <c r="F10" s="56"/>
      <c r="G10" s="39"/>
      <c r="H10" s="39"/>
      <c r="I10" s="39"/>
    </row>
    <row r="11" customFormat="false" ht="15" hidden="false" customHeight="false" outlineLevel="0" collapsed="false">
      <c r="A11" s="48" t="str">
        <f aca="false">IF(COUNTA(B11:I11)=0,"","E"&amp;TEXT(ROW()-3,"000"))</f>
        <v/>
      </c>
      <c r="B11" s="40"/>
      <c r="C11" s="39"/>
      <c r="D11" s="39"/>
      <c r="E11" s="39"/>
      <c r="F11" s="56"/>
      <c r="G11" s="39"/>
      <c r="H11" s="39"/>
      <c r="I11" s="39"/>
    </row>
    <row r="12" customFormat="false" ht="15" hidden="false" customHeight="false" outlineLevel="0" collapsed="false">
      <c r="A12" s="48" t="str">
        <f aca="false">IF(COUNTA(B12:I12)=0,"","E"&amp;TEXT(ROW()-3,"000"))</f>
        <v/>
      </c>
      <c r="B12" s="40"/>
      <c r="C12" s="39"/>
      <c r="D12" s="39"/>
      <c r="E12" s="39"/>
      <c r="F12" s="56"/>
      <c r="G12" s="39"/>
      <c r="H12" s="39"/>
      <c r="I12" s="39"/>
    </row>
    <row r="13" customFormat="false" ht="15" hidden="false" customHeight="false" outlineLevel="0" collapsed="false">
      <c r="A13" s="48" t="str">
        <f aca="false">IF(COUNTA(B13:I13)=0,"","E"&amp;TEXT(ROW()-3,"000"))</f>
        <v/>
      </c>
      <c r="B13" s="40"/>
      <c r="C13" s="39"/>
      <c r="D13" s="39"/>
      <c r="E13" s="39"/>
      <c r="F13" s="56"/>
      <c r="G13" s="39"/>
      <c r="H13" s="39"/>
      <c r="I13" s="39"/>
    </row>
    <row r="14" customFormat="false" ht="15" hidden="false" customHeight="false" outlineLevel="0" collapsed="false">
      <c r="A14" s="48" t="str">
        <f aca="false">IF(COUNTA(B14:I14)=0,"","E"&amp;TEXT(ROW()-3,"000"))</f>
        <v/>
      </c>
      <c r="B14" s="40"/>
      <c r="C14" s="39"/>
      <c r="D14" s="39"/>
      <c r="E14" s="39"/>
      <c r="F14" s="56"/>
      <c r="G14" s="39"/>
      <c r="H14" s="39"/>
      <c r="I14" s="39"/>
    </row>
    <row r="15" customFormat="false" ht="15" hidden="false" customHeight="false" outlineLevel="0" collapsed="false">
      <c r="A15" s="48" t="str">
        <f aca="false">IF(COUNTA(B15:I15)=0,"","E"&amp;TEXT(ROW()-3,"000"))</f>
        <v/>
      </c>
      <c r="B15" s="40"/>
      <c r="C15" s="39"/>
      <c r="D15" s="39"/>
      <c r="E15" s="39"/>
      <c r="F15" s="56"/>
      <c r="G15" s="39"/>
      <c r="H15" s="39"/>
      <c r="I15" s="39"/>
    </row>
    <row r="16" customFormat="false" ht="15" hidden="false" customHeight="false" outlineLevel="0" collapsed="false">
      <c r="A16" s="48" t="str">
        <f aca="false">IF(COUNTA(B16:I16)=0,"","E"&amp;TEXT(ROW()-3,"000"))</f>
        <v/>
      </c>
      <c r="B16" s="40"/>
      <c r="C16" s="39"/>
      <c r="D16" s="39"/>
      <c r="E16" s="39"/>
      <c r="F16" s="56"/>
      <c r="G16" s="39"/>
      <c r="H16" s="39"/>
      <c r="I16" s="39"/>
    </row>
    <row r="17" customFormat="false" ht="15" hidden="false" customHeight="false" outlineLevel="0" collapsed="false">
      <c r="A17" s="48" t="str">
        <f aca="false">IF(COUNTA(B17:I17)=0,"","E"&amp;TEXT(ROW()-3,"000"))</f>
        <v/>
      </c>
      <c r="B17" s="40"/>
      <c r="C17" s="39"/>
      <c r="D17" s="39"/>
      <c r="E17" s="39"/>
      <c r="F17" s="56"/>
      <c r="G17" s="39"/>
      <c r="H17" s="39"/>
      <c r="I17" s="39"/>
    </row>
    <row r="18" customFormat="false" ht="15" hidden="false" customHeight="false" outlineLevel="0" collapsed="false">
      <c r="A18" s="48" t="str">
        <f aca="false">IF(COUNTA(B18:I18)=0,"","E"&amp;TEXT(ROW()-3,"000"))</f>
        <v/>
      </c>
      <c r="B18" s="40"/>
      <c r="C18" s="39"/>
      <c r="D18" s="39"/>
      <c r="E18" s="39"/>
      <c r="F18" s="56"/>
      <c r="G18" s="39"/>
      <c r="H18" s="39"/>
      <c r="I18" s="39"/>
    </row>
    <row r="19" customFormat="false" ht="15" hidden="false" customHeight="false" outlineLevel="0" collapsed="false">
      <c r="A19" s="48" t="str">
        <f aca="false">IF(COUNTA(B19:I19)=0,"","E"&amp;TEXT(ROW()-3,"000"))</f>
        <v/>
      </c>
      <c r="B19" s="40"/>
      <c r="C19" s="39"/>
      <c r="D19" s="39"/>
      <c r="E19" s="39"/>
      <c r="F19" s="56"/>
      <c r="G19" s="39"/>
      <c r="H19" s="39"/>
      <c r="I19" s="39"/>
    </row>
    <row r="20" customFormat="false" ht="15" hidden="false" customHeight="false" outlineLevel="0" collapsed="false">
      <c r="A20" s="48" t="str">
        <f aca="false">IF(COUNTA(B20:I20)=0,"","E"&amp;TEXT(ROW()-3,"000"))</f>
        <v/>
      </c>
      <c r="B20" s="40"/>
      <c r="C20" s="39"/>
      <c r="D20" s="39"/>
      <c r="E20" s="39"/>
      <c r="F20" s="56"/>
      <c r="G20" s="39"/>
      <c r="H20" s="39"/>
      <c r="I20" s="39"/>
    </row>
    <row r="21" customFormat="false" ht="15" hidden="false" customHeight="false" outlineLevel="0" collapsed="false">
      <c r="A21" s="48" t="str">
        <f aca="false">IF(COUNTA(B21:I21)=0,"","E"&amp;TEXT(ROW()-3,"000"))</f>
        <v/>
      </c>
      <c r="B21" s="40"/>
      <c r="C21" s="39"/>
      <c r="D21" s="39"/>
      <c r="E21" s="39"/>
      <c r="F21" s="56"/>
      <c r="G21" s="39"/>
      <c r="H21" s="39"/>
      <c r="I21" s="39"/>
    </row>
    <row r="22" customFormat="false" ht="15" hidden="false" customHeight="false" outlineLevel="0" collapsed="false">
      <c r="A22" s="48" t="str">
        <f aca="false">IF(COUNTA(B22:I22)=0,"","E"&amp;TEXT(ROW()-3,"000"))</f>
        <v/>
      </c>
      <c r="B22" s="40"/>
      <c r="C22" s="39"/>
      <c r="D22" s="39"/>
      <c r="E22" s="39"/>
      <c r="F22" s="56"/>
      <c r="G22" s="39"/>
      <c r="H22" s="39"/>
      <c r="I22" s="39"/>
    </row>
    <row r="23" customFormat="false" ht="15" hidden="false" customHeight="false" outlineLevel="0" collapsed="false">
      <c r="A23" s="48" t="str">
        <f aca="false">IF(COUNTA(B23:I23)=0,"","E"&amp;TEXT(ROW()-3,"000"))</f>
        <v/>
      </c>
      <c r="B23" s="40"/>
      <c r="C23" s="39"/>
      <c r="D23" s="39"/>
      <c r="E23" s="39"/>
      <c r="F23" s="56"/>
      <c r="G23" s="39"/>
      <c r="H23" s="39"/>
      <c r="I23" s="39"/>
    </row>
    <row r="24" customFormat="false" ht="15" hidden="false" customHeight="false" outlineLevel="0" collapsed="false">
      <c r="A24" s="48" t="str">
        <f aca="false">IF(COUNTA(B24:I24)=0,"","E"&amp;TEXT(ROW()-3,"000"))</f>
        <v/>
      </c>
      <c r="B24" s="40"/>
      <c r="C24" s="39"/>
      <c r="D24" s="39"/>
      <c r="E24" s="39"/>
      <c r="F24" s="56"/>
      <c r="G24" s="39"/>
      <c r="H24" s="39"/>
      <c r="I24" s="39"/>
    </row>
    <row r="25" customFormat="false" ht="15" hidden="false" customHeight="false" outlineLevel="0" collapsed="false">
      <c r="A25" s="48" t="str">
        <f aca="false">IF(COUNTA(B25:I25)=0,"","E"&amp;TEXT(ROW()-3,"000"))</f>
        <v/>
      </c>
      <c r="B25" s="40"/>
      <c r="C25" s="39"/>
      <c r="D25" s="39"/>
      <c r="E25" s="39"/>
      <c r="F25" s="56"/>
      <c r="G25" s="39"/>
      <c r="H25" s="39"/>
      <c r="I25" s="39"/>
    </row>
    <row r="26" customFormat="false" ht="15" hidden="false" customHeight="false" outlineLevel="0" collapsed="false">
      <c r="A26" s="48" t="str">
        <f aca="false">IF(COUNTA(B26:I26)=0,"","E"&amp;TEXT(ROW()-3,"000"))</f>
        <v/>
      </c>
      <c r="B26" s="40"/>
      <c r="C26" s="39"/>
      <c r="D26" s="39"/>
      <c r="E26" s="39"/>
      <c r="F26" s="56"/>
      <c r="G26" s="39"/>
      <c r="H26" s="39"/>
      <c r="I26" s="39"/>
    </row>
    <row r="27" customFormat="false" ht="15" hidden="false" customHeight="false" outlineLevel="0" collapsed="false">
      <c r="A27" s="48" t="str">
        <f aca="false">IF(COUNTA(B27:I27)=0,"","E"&amp;TEXT(ROW()-3,"000"))</f>
        <v/>
      </c>
      <c r="B27" s="40"/>
      <c r="C27" s="39"/>
      <c r="D27" s="39"/>
      <c r="E27" s="39"/>
      <c r="F27" s="56"/>
      <c r="G27" s="39"/>
      <c r="H27" s="39"/>
      <c r="I27" s="39"/>
    </row>
    <row r="28" customFormat="false" ht="15" hidden="false" customHeight="false" outlineLevel="0" collapsed="false">
      <c r="A28" s="48" t="str">
        <f aca="false">IF(COUNTA(B28:I28)=0,"","E"&amp;TEXT(ROW()-3,"000"))</f>
        <v/>
      </c>
      <c r="B28" s="40"/>
      <c r="C28" s="39"/>
      <c r="D28" s="39"/>
      <c r="E28" s="39"/>
      <c r="F28" s="56"/>
      <c r="G28" s="39"/>
      <c r="H28" s="39"/>
      <c r="I28" s="39"/>
    </row>
    <row r="29" customFormat="false" ht="15" hidden="false" customHeight="false" outlineLevel="0" collapsed="false">
      <c r="A29" s="48" t="str">
        <f aca="false">IF(COUNTA(B29:I29)=0,"","E"&amp;TEXT(ROW()-3,"000"))</f>
        <v/>
      </c>
      <c r="B29" s="40"/>
      <c r="C29" s="39"/>
      <c r="D29" s="39"/>
      <c r="E29" s="39"/>
      <c r="F29" s="56"/>
      <c r="G29" s="39"/>
      <c r="H29" s="39"/>
      <c r="I29" s="39"/>
    </row>
    <row r="30" customFormat="false" ht="15" hidden="false" customHeight="false" outlineLevel="0" collapsed="false">
      <c r="A30" s="48" t="str">
        <f aca="false">IF(COUNTA(B30:I30)=0,"","E"&amp;TEXT(ROW()-3,"000"))</f>
        <v/>
      </c>
      <c r="B30" s="40"/>
      <c r="C30" s="39"/>
      <c r="D30" s="39"/>
      <c r="E30" s="39"/>
      <c r="F30" s="56"/>
      <c r="G30" s="39"/>
      <c r="H30" s="39"/>
      <c r="I30" s="39"/>
    </row>
    <row r="31" customFormat="false" ht="15" hidden="false" customHeight="false" outlineLevel="0" collapsed="false">
      <c r="A31" s="48" t="str">
        <f aca="false">IF(COUNTA(B31:I31)=0,"","E"&amp;TEXT(ROW()-3,"000"))</f>
        <v/>
      </c>
      <c r="B31" s="40"/>
      <c r="C31" s="39"/>
      <c r="D31" s="39"/>
      <c r="E31" s="39"/>
      <c r="F31" s="56"/>
      <c r="G31" s="39"/>
      <c r="H31" s="39"/>
      <c r="I31" s="39"/>
    </row>
    <row r="32" customFormat="false" ht="15" hidden="false" customHeight="false" outlineLevel="0" collapsed="false">
      <c r="A32" s="48" t="str">
        <f aca="false">IF(COUNTA(B32:I32)=0,"","E"&amp;TEXT(ROW()-3,"000"))</f>
        <v/>
      </c>
      <c r="B32" s="40"/>
      <c r="C32" s="39"/>
      <c r="D32" s="39"/>
      <c r="E32" s="39"/>
      <c r="F32" s="56"/>
      <c r="G32" s="39"/>
      <c r="H32" s="39"/>
      <c r="I32" s="39"/>
    </row>
    <row r="33" customFormat="false" ht="15" hidden="false" customHeight="false" outlineLevel="0" collapsed="false">
      <c r="A33" s="48" t="str">
        <f aca="false">IF(COUNTA(B33:I33)=0,"","E"&amp;TEXT(ROW()-3,"000"))</f>
        <v/>
      </c>
      <c r="B33" s="40"/>
      <c r="C33" s="39"/>
      <c r="D33" s="39"/>
      <c r="E33" s="39"/>
      <c r="F33" s="56"/>
      <c r="G33" s="39"/>
      <c r="H33" s="39"/>
      <c r="I33" s="39"/>
    </row>
    <row r="34" customFormat="false" ht="15" hidden="false" customHeight="false" outlineLevel="0" collapsed="false">
      <c r="A34" s="48" t="str">
        <f aca="false">IF(COUNTA(B34:I34)=0,"","E"&amp;TEXT(ROW()-3,"000"))</f>
        <v/>
      </c>
      <c r="B34" s="40"/>
      <c r="C34" s="39"/>
      <c r="D34" s="39"/>
      <c r="E34" s="39"/>
      <c r="F34" s="56"/>
      <c r="G34" s="39"/>
      <c r="H34" s="39"/>
      <c r="I34" s="39"/>
    </row>
    <row r="35" customFormat="false" ht="15" hidden="false" customHeight="false" outlineLevel="0" collapsed="false">
      <c r="A35" s="48" t="str">
        <f aca="false">IF(COUNTA(B35:I35)=0,"","E"&amp;TEXT(ROW()-3,"000"))</f>
        <v/>
      </c>
      <c r="B35" s="40"/>
      <c r="C35" s="39"/>
      <c r="D35" s="39"/>
      <c r="E35" s="39"/>
      <c r="F35" s="56"/>
      <c r="G35" s="39"/>
      <c r="H35" s="39"/>
      <c r="I35" s="39"/>
    </row>
    <row r="36" customFormat="false" ht="15" hidden="false" customHeight="false" outlineLevel="0" collapsed="false">
      <c r="A36" s="48" t="str">
        <f aca="false">IF(COUNTA(B36:I36)=0,"","E"&amp;TEXT(ROW()-3,"000"))</f>
        <v/>
      </c>
      <c r="B36" s="40"/>
      <c r="C36" s="39"/>
      <c r="D36" s="39"/>
      <c r="E36" s="39"/>
      <c r="F36" s="56"/>
      <c r="G36" s="39"/>
      <c r="H36" s="39"/>
      <c r="I36" s="39"/>
    </row>
    <row r="37" customFormat="false" ht="15" hidden="false" customHeight="false" outlineLevel="0" collapsed="false">
      <c r="A37" s="48" t="str">
        <f aca="false">IF(COUNTA(B37:I37)=0,"","E"&amp;TEXT(ROW()-3,"000"))</f>
        <v/>
      </c>
      <c r="B37" s="40"/>
      <c r="C37" s="39"/>
      <c r="D37" s="39"/>
      <c r="E37" s="39"/>
      <c r="F37" s="56"/>
      <c r="G37" s="39"/>
      <c r="H37" s="39"/>
      <c r="I37" s="39"/>
    </row>
    <row r="38" customFormat="false" ht="15" hidden="false" customHeight="false" outlineLevel="0" collapsed="false">
      <c r="A38" s="48" t="str">
        <f aca="false">IF(COUNTA(B38:I38)=0,"","E"&amp;TEXT(ROW()-3,"000"))</f>
        <v/>
      </c>
      <c r="B38" s="40"/>
      <c r="C38" s="39"/>
      <c r="D38" s="39"/>
      <c r="E38" s="39"/>
      <c r="F38" s="56"/>
      <c r="G38" s="39"/>
      <c r="H38" s="39"/>
      <c r="I38" s="39"/>
    </row>
    <row r="39" customFormat="false" ht="15" hidden="false" customHeight="false" outlineLevel="0" collapsed="false">
      <c r="A39" s="48" t="str">
        <f aca="false">IF(COUNTA(B39:I39)=0,"","E"&amp;TEXT(ROW()-3,"000"))</f>
        <v/>
      </c>
      <c r="B39" s="40"/>
      <c r="C39" s="39"/>
      <c r="D39" s="39"/>
      <c r="E39" s="39"/>
      <c r="F39" s="56"/>
      <c r="G39" s="39"/>
      <c r="H39" s="39"/>
      <c r="I39" s="39"/>
    </row>
    <row r="40" customFormat="false" ht="15" hidden="false" customHeight="false" outlineLevel="0" collapsed="false">
      <c r="A40" s="48" t="str">
        <f aca="false">IF(COUNTA(B40:I40)=0,"","E"&amp;TEXT(ROW()-3,"000"))</f>
        <v/>
      </c>
      <c r="B40" s="40"/>
      <c r="C40" s="39"/>
      <c r="D40" s="39"/>
      <c r="E40" s="39"/>
      <c r="F40" s="56"/>
      <c r="G40" s="39"/>
      <c r="H40" s="39"/>
      <c r="I40" s="39"/>
    </row>
    <row r="41" customFormat="false" ht="15" hidden="false" customHeight="false" outlineLevel="0" collapsed="false">
      <c r="A41" s="48" t="str">
        <f aca="false">IF(COUNTA(B41:I41)=0,"","E"&amp;TEXT(ROW()-3,"000"))</f>
        <v/>
      </c>
      <c r="B41" s="40"/>
      <c r="C41" s="39"/>
      <c r="D41" s="39"/>
      <c r="E41" s="39"/>
      <c r="F41" s="56"/>
      <c r="G41" s="39"/>
      <c r="H41" s="39"/>
      <c r="I41" s="39"/>
    </row>
    <row r="42" customFormat="false" ht="15" hidden="false" customHeight="false" outlineLevel="0" collapsed="false">
      <c r="A42" s="48" t="str">
        <f aca="false">IF(COUNTA(B42:I42)=0,"","E"&amp;TEXT(ROW()-3,"000"))</f>
        <v/>
      </c>
      <c r="B42" s="40"/>
      <c r="C42" s="39"/>
      <c r="D42" s="39"/>
      <c r="E42" s="39"/>
      <c r="F42" s="56"/>
      <c r="G42" s="39"/>
      <c r="H42" s="39"/>
      <c r="I42" s="39"/>
    </row>
    <row r="43" customFormat="false" ht="15" hidden="false" customHeight="false" outlineLevel="0" collapsed="false">
      <c r="A43" s="48" t="str">
        <f aca="false">IF(COUNTA(B43:I43)=0,"","E"&amp;TEXT(ROW()-3,"000"))</f>
        <v/>
      </c>
      <c r="B43" s="40"/>
      <c r="C43" s="39"/>
      <c r="D43" s="39"/>
      <c r="E43" s="39"/>
      <c r="F43" s="56"/>
      <c r="G43" s="39"/>
      <c r="H43" s="39"/>
      <c r="I43" s="39"/>
    </row>
    <row r="44" customFormat="false" ht="15" hidden="false" customHeight="false" outlineLevel="0" collapsed="false">
      <c r="A44" s="48" t="str">
        <f aca="false">IF(COUNTA(B44:I44)=0,"","E"&amp;TEXT(ROW()-3,"000"))</f>
        <v/>
      </c>
      <c r="B44" s="40"/>
      <c r="C44" s="39"/>
      <c r="D44" s="39"/>
      <c r="E44" s="39"/>
      <c r="F44" s="56"/>
      <c r="G44" s="39"/>
      <c r="H44" s="39"/>
      <c r="I44" s="39"/>
    </row>
    <row r="45" customFormat="false" ht="15" hidden="false" customHeight="false" outlineLevel="0" collapsed="false">
      <c r="A45" s="48" t="str">
        <f aca="false">IF(COUNTA(B45:I45)=0,"","E"&amp;TEXT(ROW()-3,"000"))</f>
        <v/>
      </c>
      <c r="B45" s="40"/>
      <c r="C45" s="39"/>
      <c r="D45" s="39"/>
      <c r="E45" s="39"/>
      <c r="F45" s="56"/>
      <c r="G45" s="39"/>
      <c r="H45" s="39"/>
      <c r="I45" s="39"/>
    </row>
    <row r="46" customFormat="false" ht="15" hidden="false" customHeight="false" outlineLevel="0" collapsed="false">
      <c r="A46" s="48" t="str">
        <f aca="false">IF(COUNTA(B46:I46)=0,"","E"&amp;TEXT(ROW()-3,"000"))</f>
        <v/>
      </c>
      <c r="B46" s="40"/>
      <c r="C46" s="39"/>
      <c r="D46" s="39"/>
      <c r="E46" s="39"/>
      <c r="F46" s="56"/>
      <c r="G46" s="39"/>
      <c r="H46" s="39"/>
      <c r="I46" s="39"/>
    </row>
    <row r="47" customFormat="false" ht="15" hidden="false" customHeight="false" outlineLevel="0" collapsed="false">
      <c r="A47" s="48" t="str">
        <f aca="false">IF(COUNTA(B47:I47)=0,"","E"&amp;TEXT(ROW()-3,"000"))</f>
        <v/>
      </c>
      <c r="B47" s="40"/>
      <c r="C47" s="39"/>
      <c r="D47" s="39"/>
      <c r="E47" s="39"/>
      <c r="F47" s="56"/>
      <c r="G47" s="39"/>
      <c r="H47" s="39"/>
      <c r="I47" s="39"/>
    </row>
    <row r="48" customFormat="false" ht="15" hidden="false" customHeight="false" outlineLevel="0" collapsed="false">
      <c r="A48" s="48" t="str">
        <f aca="false">IF(COUNTA(B48:I48)=0,"","E"&amp;TEXT(ROW()-3,"000"))</f>
        <v/>
      </c>
      <c r="B48" s="40"/>
      <c r="C48" s="39"/>
      <c r="D48" s="39"/>
      <c r="E48" s="39"/>
      <c r="F48" s="56"/>
      <c r="G48" s="39"/>
      <c r="H48" s="39"/>
      <c r="I48" s="39"/>
    </row>
    <row r="49" customFormat="false" ht="15" hidden="false" customHeight="false" outlineLevel="0" collapsed="false">
      <c r="A49" s="48" t="str">
        <f aca="false">IF(COUNTA(B49:I49)=0,"","E"&amp;TEXT(ROW()-3,"000"))</f>
        <v/>
      </c>
      <c r="B49" s="40"/>
      <c r="C49" s="39"/>
      <c r="D49" s="39"/>
      <c r="E49" s="39"/>
      <c r="F49" s="56"/>
      <c r="G49" s="39"/>
      <c r="H49" s="39"/>
      <c r="I49" s="39"/>
    </row>
    <row r="50" customFormat="false" ht="15" hidden="false" customHeight="false" outlineLevel="0" collapsed="false">
      <c r="A50" s="48" t="str">
        <f aca="false">IF(COUNTA(B50:I50)=0,"","E"&amp;TEXT(ROW()-3,"000"))</f>
        <v/>
      </c>
      <c r="B50" s="40"/>
      <c r="C50" s="39"/>
      <c r="D50" s="39"/>
      <c r="E50" s="39"/>
      <c r="F50" s="56"/>
      <c r="G50" s="39"/>
      <c r="H50" s="39"/>
      <c r="I50" s="39"/>
    </row>
    <row r="51" customFormat="false" ht="15" hidden="false" customHeight="false" outlineLevel="0" collapsed="false">
      <c r="A51" s="48" t="str">
        <f aca="false">IF(COUNTA(B51:I51)=0,"","E"&amp;TEXT(ROW()-3,"000"))</f>
        <v/>
      </c>
      <c r="B51" s="40"/>
      <c r="C51" s="39"/>
      <c r="D51" s="39"/>
      <c r="E51" s="39"/>
      <c r="F51" s="56"/>
      <c r="G51" s="39"/>
      <c r="H51" s="39"/>
      <c r="I51" s="39"/>
    </row>
    <row r="52" customFormat="false" ht="15" hidden="false" customHeight="false" outlineLevel="0" collapsed="false">
      <c r="A52" s="48" t="str">
        <f aca="false">IF(COUNTA(B52:I52)=0,"","E"&amp;TEXT(ROW()-3,"000"))</f>
        <v/>
      </c>
      <c r="B52" s="40"/>
      <c r="C52" s="39"/>
      <c r="D52" s="39"/>
      <c r="E52" s="39"/>
      <c r="F52" s="56"/>
      <c r="G52" s="39"/>
      <c r="H52" s="39"/>
      <c r="I52" s="39"/>
    </row>
    <row r="53" customFormat="false" ht="15" hidden="false" customHeight="false" outlineLevel="0" collapsed="false">
      <c r="A53" s="48" t="str">
        <f aca="false">IF(COUNTA(B53:I53)=0,"","E"&amp;TEXT(ROW()-3,"000"))</f>
        <v/>
      </c>
      <c r="B53" s="40"/>
      <c r="C53" s="39"/>
      <c r="D53" s="39"/>
      <c r="E53" s="39"/>
      <c r="F53" s="56"/>
      <c r="G53" s="39"/>
      <c r="H53" s="39"/>
      <c r="I53" s="39"/>
    </row>
    <row r="54" customFormat="false" ht="15" hidden="false" customHeight="false" outlineLevel="0" collapsed="false">
      <c r="A54" s="48" t="str">
        <f aca="false">IF(COUNTA(B54:I54)=0,"","E"&amp;TEXT(ROW()-3,"000"))</f>
        <v/>
      </c>
      <c r="B54" s="40"/>
      <c r="C54" s="39"/>
      <c r="D54" s="39"/>
      <c r="E54" s="39"/>
      <c r="F54" s="56"/>
      <c r="G54" s="39"/>
      <c r="H54" s="39"/>
      <c r="I54" s="39"/>
    </row>
    <row r="55" customFormat="false" ht="15" hidden="false" customHeight="false" outlineLevel="0" collapsed="false">
      <c r="A55" s="48" t="str">
        <f aca="false">IF(COUNTA(B55:I55)=0,"","E"&amp;TEXT(ROW()-3,"000"))</f>
        <v/>
      </c>
      <c r="B55" s="40"/>
      <c r="C55" s="39"/>
      <c r="D55" s="39"/>
      <c r="E55" s="39"/>
      <c r="F55" s="56"/>
      <c r="G55" s="39"/>
      <c r="H55" s="39"/>
      <c r="I55" s="39"/>
    </row>
    <row r="56" customFormat="false" ht="15" hidden="false" customHeight="false" outlineLevel="0" collapsed="false">
      <c r="A56" s="48" t="str">
        <f aca="false">IF(COUNTA(B56:I56)=0,"","E"&amp;TEXT(ROW()-3,"000"))</f>
        <v/>
      </c>
      <c r="B56" s="40"/>
      <c r="C56" s="39"/>
      <c r="D56" s="39"/>
      <c r="E56" s="39"/>
      <c r="F56" s="56"/>
      <c r="G56" s="39"/>
      <c r="H56" s="39"/>
      <c r="I56" s="39"/>
    </row>
    <row r="57" customFormat="false" ht="15" hidden="false" customHeight="false" outlineLevel="0" collapsed="false">
      <c r="A57" s="48" t="str">
        <f aca="false">IF(COUNTA(B57:I57)=0,"","E"&amp;TEXT(ROW()-3,"000"))</f>
        <v/>
      </c>
      <c r="B57" s="40"/>
      <c r="C57" s="39"/>
      <c r="D57" s="39"/>
      <c r="E57" s="39"/>
      <c r="F57" s="56"/>
      <c r="G57" s="39"/>
      <c r="H57" s="39"/>
      <c r="I57" s="39"/>
    </row>
    <row r="58" customFormat="false" ht="15" hidden="false" customHeight="false" outlineLevel="0" collapsed="false">
      <c r="A58" s="48" t="str">
        <f aca="false">IF(COUNTA(B58:I58)=0,"","E"&amp;TEXT(ROW()-3,"000"))</f>
        <v/>
      </c>
      <c r="B58" s="40"/>
      <c r="C58" s="39"/>
      <c r="D58" s="39"/>
      <c r="E58" s="39"/>
      <c r="F58" s="56"/>
      <c r="G58" s="39"/>
      <c r="H58" s="39"/>
      <c r="I58" s="39"/>
    </row>
    <row r="59" customFormat="false" ht="15" hidden="false" customHeight="false" outlineLevel="0" collapsed="false">
      <c r="A59" s="48" t="str">
        <f aca="false">IF(COUNTA(B59:I59)=0,"","E"&amp;TEXT(ROW()-3,"000"))</f>
        <v/>
      </c>
      <c r="B59" s="40"/>
      <c r="C59" s="39"/>
      <c r="D59" s="39"/>
      <c r="E59" s="39"/>
      <c r="F59" s="56"/>
      <c r="G59" s="39"/>
      <c r="H59" s="39"/>
      <c r="I59" s="39"/>
    </row>
    <row r="60" customFormat="false" ht="15" hidden="false" customHeight="false" outlineLevel="0" collapsed="false">
      <c r="A60" s="48" t="str">
        <f aca="false">IF(COUNTA(B60:I60)=0,"","E"&amp;TEXT(ROW()-3,"000"))</f>
        <v/>
      </c>
      <c r="B60" s="40"/>
      <c r="C60" s="39"/>
      <c r="D60" s="39"/>
      <c r="E60" s="39"/>
      <c r="F60" s="56"/>
      <c r="G60" s="39"/>
      <c r="H60" s="39"/>
      <c r="I60" s="39"/>
    </row>
    <row r="61" customFormat="false" ht="15" hidden="false" customHeight="false" outlineLevel="0" collapsed="false">
      <c r="A61" s="48" t="str">
        <f aca="false">IF(COUNTA(B61:I61)=0,"","E"&amp;TEXT(ROW()-3,"000"))</f>
        <v/>
      </c>
      <c r="B61" s="40"/>
      <c r="C61" s="39"/>
      <c r="D61" s="39"/>
      <c r="E61" s="39"/>
      <c r="F61" s="56"/>
      <c r="G61" s="39"/>
      <c r="H61" s="39"/>
      <c r="I61" s="39"/>
    </row>
    <row r="62" customFormat="false" ht="15" hidden="false" customHeight="false" outlineLevel="0" collapsed="false">
      <c r="A62" s="48" t="str">
        <f aca="false">IF(COUNTA(B62:I62)=0,"","E"&amp;TEXT(ROW()-3,"000"))</f>
        <v/>
      </c>
      <c r="B62" s="40"/>
      <c r="C62" s="39"/>
      <c r="D62" s="39"/>
      <c r="E62" s="39"/>
      <c r="F62" s="56"/>
      <c r="G62" s="39"/>
      <c r="H62" s="39"/>
      <c r="I62" s="39"/>
    </row>
    <row r="63" customFormat="false" ht="15" hidden="false" customHeight="false" outlineLevel="0" collapsed="false">
      <c r="A63" s="48" t="str">
        <f aca="false">IF(COUNTA(B63:I63)=0,"","E"&amp;TEXT(ROW()-3,"000"))</f>
        <v/>
      </c>
      <c r="B63" s="40"/>
      <c r="C63" s="39"/>
      <c r="D63" s="39"/>
      <c r="E63" s="39"/>
      <c r="F63" s="56"/>
      <c r="G63" s="39"/>
      <c r="H63" s="39"/>
      <c r="I63" s="39"/>
    </row>
    <row r="65" customFormat="false" ht="15" hidden="false" customHeight="false" outlineLevel="0" collapsed="false">
      <c r="E65" s="52" t="s">
        <v>214</v>
      </c>
      <c r="F65" s="57" t="n">
        <f aca="false">SUM(F4:F63)</f>
        <v>50000</v>
      </c>
    </row>
    <row r="67" customFormat="false" ht="27.75" hidden="false" customHeight="true" outlineLevel="0" collapsed="false">
      <c r="A67" s="54" t="s">
        <v>225</v>
      </c>
      <c r="B67" s="54"/>
      <c r="C67" s="54"/>
      <c r="D67" s="54"/>
      <c r="E67" s="54"/>
      <c r="F67" s="54"/>
      <c r="G67" s="54"/>
      <c r="H67" s="54"/>
      <c r="I67" s="54"/>
    </row>
  </sheetData>
  <autoFilter ref="A3:I63"/>
  <mergeCells count="2">
    <mergeCell ref="A1:I1"/>
    <mergeCell ref="A67:I67"/>
  </mergeCells>
  <dataValidations count="5">
    <dataValidation allowBlank="true" error="Please enter a valid date." errorStyle="stop" errorTitle="Invalid date" operator="between" showDropDown="false" showErrorMessage="true" showInputMessage="false" sqref="B4:B63" type="date">
      <formula1>32874</formula1>
      <formula2>73415</formula2>
    </dataValidation>
    <dataValidation allowBlank="true" error="Please choose from the list." errorStyle="stop" errorTitle="Invalid entry" operator="between" showDropDown="false" showErrorMessage="false" showInputMessage="false" sqref="C4:C63" type="list">
      <formula1>List_Categories</formula1>
      <formula2>0</formula2>
    </dataValidation>
    <dataValidation allowBlank="true" error="Please choose from the list." errorStyle="stop" errorTitle="Invalid entry" operator="between" showDropDown="false" showErrorMessage="false" showInputMessage="false" sqref="G4:G63" type="list">
      <formula1>List_FamilyMembers</formula1>
      <formula2>0</formula2>
    </dataValidation>
    <dataValidation allowBlank="true" error="Please choose from the list." errorStyle="stop" errorTitle="Invalid entry" operator="between" showDropDown="false" showErrorMessage="false" showInputMessage="false" sqref="H4:H63" type="list">
      <formula1>List_PaymentMode</formula1>
      <formula2>0</formula2>
    </dataValidation>
    <dataValidation allowBlank="true" error="Please choose a vendor already listed in the Vendors sheet." errorStyle="stop" errorTitle="Vendor not found" operator="between" showDropDown="false" showErrorMessage="false" showInputMessage="false" sqref="E4:E63" type="list">
      <formula1>'🏪 Vendors'!$A$4:$A$43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1735"/>
    <pageSetUpPr fitToPage="false"/>
  </sheetPr>
  <dimension ref="A1:M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5" min="4" style="0" width="15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24"/>
    <col collapsed="false" customWidth="true" hidden="true" outlineLevel="0" max="13" min="12" style="0" width="13"/>
  </cols>
  <sheetData>
    <row r="1" customFormat="false" ht="27.75" hidden="false" customHeight="true" outlineLevel="0" collapsed="false">
      <c r="A1" s="31" t="s">
        <v>226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3" customFormat="false" ht="15" hidden="false" customHeight="false" outlineLevel="0" collapsed="false">
      <c r="A3" s="37" t="s">
        <v>227</v>
      </c>
      <c r="B3" s="37"/>
      <c r="C3" s="37"/>
      <c r="D3" s="37"/>
      <c r="E3" s="37"/>
      <c r="F3" s="37"/>
      <c r="G3" s="37"/>
      <c r="H3" s="37"/>
      <c r="I3" s="37"/>
      <c r="J3" s="37"/>
      <c r="K3" s="37"/>
    </row>
    <row r="4" customFormat="false" ht="15.75" hidden="false" customHeight="true" outlineLevel="0" collapsed="false">
      <c r="A4" s="58" t="s">
        <v>228</v>
      </c>
      <c r="B4" s="58"/>
      <c r="C4" s="58"/>
      <c r="D4" s="58" t="s">
        <v>229</v>
      </c>
      <c r="E4" s="58"/>
      <c r="F4" s="58"/>
      <c r="G4" s="58" t="s">
        <v>230</v>
      </c>
      <c r="H4" s="58"/>
      <c r="I4" s="58"/>
      <c r="J4" s="58" t="s">
        <v>231</v>
      </c>
      <c r="K4" s="58"/>
      <c r="L4" s="58"/>
    </row>
    <row r="5" customFormat="false" ht="24" hidden="false" customHeight="true" outlineLevel="0" collapsed="false">
      <c r="A5" s="59" t="n">
        <f aca="false">COUNTA(B7:B66)</f>
        <v>1</v>
      </c>
      <c r="B5" s="59"/>
      <c r="C5" s="59"/>
      <c r="D5" s="59" t="n">
        <f aca="false">SUM(F7:F66)</f>
        <v>4</v>
      </c>
      <c r="E5" s="59"/>
      <c r="F5" s="59"/>
      <c r="G5" s="59" t="n">
        <f aca="false">COUNTA(B7:B66)-COUNTIF(G7:G66,"Yes")</f>
        <v>0</v>
      </c>
      <c r="H5" s="59"/>
      <c r="I5" s="59"/>
      <c r="J5" s="59" t="n">
        <f aca="false">COUNTIF(J7:J66,TRUE())</f>
        <v>1</v>
      </c>
      <c r="K5" s="59"/>
      <c r="L5" s="59"/>
    </row>
    <row r="6" customFormat="false" ht="33.75" hidden="false" customHeight="true" outlineLevel="0" collapsed="false">
      <c r="A6" s="42" t="s">
        <v>232</v>
      </c>
      <c r="B6" s="42" t="s">
        <v>233</v>
      </c>
      <c r="C6" s="42" t="s">
        <v>234</v>
      </c>
      <c r="D6" s="42" t="s">
        <v>235</v>
      </c>
      <c r="E6" s="42" t="s">
        <v>236</v>
      </c>
      <c r="F6" s="42" t="s">
        <v>229</v>
      </c>
      <c r="G6" s="42" t="s">
        <v>61</v>
      </c>
      <c r="H6" s="42" t="s">
        <v>92</v>
      </c>
      <c r="I6" s="42" t="s">
        <v>109</v>
      </c>
      <c r="J6" s="42" t="s">
        <v>156</v>
      </c>
      <c r="K6" s="42" t="s">
        <v>192</v>
      </c>
    </row>
    <row r="7" customFormat="false" ht="15" hidden="false" customHeight="false" outlineLevel="0" collapsed="false">
      <c r="A7" s="48" t="str">
        <f aca="false">IF(B7="","","F"&amp;TEXT(ROW()-6,"000"))</f>
        <v>F001</v>
      </c>
      <c r="B7" s="43" t="s">
        <v>237</v>
      </c>
      <c r="C7" s="43" t="s">
        <v>238</v>
      </c>
      <c r="D7" s="43" t="s">
        <v>239</v>
      </c>
      <c r="E7" s="43" t="s">
        <v>239</v>
      </c>
      <c r="F7" s="43" t="n">
        <v>4</v>
      </c>
      <c r="G7" s="43" t="s">
        <v>81</v>
      </c>
      <c r="H7" s="60" t="b">
        <f aca="false">TRUE()</f>
        <v>1</v>
      </c>
      <c r="I7" s="60" t="b">
        <f aca="false">TRUE()</f>
        <v>1</v>
      </c>
      <c r="J7" s="60" t="b">
        <f aca="false">TRUE()</f>
        <v>1</v>
      </c>
      <c r="K7" s="43" t="s">
        <v>240</v>
      </c>
      <c r="L7" s="61" t="b">
        <f aca="false">IF('🔍 Search'!$B$2="",B7&lt;&gt;"",ISNUMBER(SEARCH('🔍 Search'!$B$2,B7&amp;" "&amp;C7&amp;" "&amp;D7&amp;" "&amp;E7&amp;" "&amp;K7)))</f>
        <v>1</v>
      </c>
      <c r="M7" s="62" t="n">
        <f aca="false">IF(L7,COUNTIF($L$7:L7,TRUE()),"")</f>
        <v>1</v>
      </c>
    </row>
    <row r="8" customFormat="false" ht="15" hidden="false" customHeight="false" outlineLevel="0" collapsed="false">
      <c r="A8" s="48" t="str">
        <f aca="false">IF(B8="","","F"&amp;TEXT(ROW()-6,"000"))</f>
        <v/>
      </c>
      <c r="B8" s="39"/>
      <c r="C8" s="39"/>
      <c r="D8" s="39"/>
      <c r="E8" s="39"/>
      <c r="F8" s="39"/>
      <c r="G8" s="39"/>
      <c r="H8" s="63" t="b">
        <f aca="false">FALSE()</f>
        <v>0</v>
      </c>
      <c r="I8" s="63" t="b">
        <f aca="false">FALSE()</f>
        <v>0</v>
      </c>
      <c r="J8" s="63" t="b">
        <f aca="false">FALSE()</f>
        <v>0</v>
      </c>
      <c r="K8" s="39"/>
      <c r="L8" s="61" t="b">
        <f aca="false">IF('🔍 Search'!$B$2="",B8&lt;&gt;"",ISNUMBER(SEARCH('🔍 Search'!$B$2,B8&amp;" "&amp;C8&amp;" "&amp;D8&amp;" "&amp;E8&amp;" "&amp;K8)))</f>
        <v>0</v>
      </c>
      <c r="M8" s="0" t="str">
        <f aca="false">IF(L8,COUNTIF($L$7:L8,TRUE()),"")</f>
        <v/>
      </c>
    </row>
    <row r="9" customFormat="false" ht="15" hidden="false" customHeight="false" outlineLevel="0" collapsed="false">
      <c r="A9" s="48" t="str">
        <f aca="false">IF(B9="","","F"&amp;TEXT(ROW()-6,"000"))</f>
        <v/>
      </c>
      <c r="B9" s="39"/>
      <c r="C9" s="39"/>
      <c r="D9" s="39"/>
      <c r="E9" s="39"/>
      <c r="F9" s="39"/>
      <c r="G9" s="39"/>
      <c r="H9" s="63" t="b">
        <f aca="false">FALSE()</f>
        <v>0</v>
      </c>
      <c r="I9" s="63" t="b">
        <f aca="false">FALSE()</f>
        <v>0</v>
      </c>
      <c r="J9" s="63" t="b">
        <f aca="false">FALSE()</f>
        <v>0</v>
      </c>
      <c r="K9" s="39"/>
      <c r="L9" s="61" t="b">
        <f aca="false">IF('🔍 Search'!$B$2="",B9&lt;&gt;"",ISNUMBER(SEARCH('🔍 Search'!$B$2,B9&amp;" "&amp;C9&amp;" "&amp;D9&amp;" "&amp;E9&amp;" "&amp;K9)))</f>
        <v>0</v>
      </c>
      <c r="M9" s="0" t="str">
        <f aca="false">IF(L9,COUNTIF($L$7:L9,TRUE()),"")</f>
        <v/>
      </c>
    </row>
    <row r="10" customFormat="false" ht="15" hidden="false" customHeight="false" outlineLevel="0" collapsed="false">
      <c r="A10" s="48" t="str">
        <f aca="false">IF(B10="","","F"&amp;TEXT(ROW()-6,"000"))</f>
        <v/>
      </c>
      <c r="B10" s="39"/>
      <c r="C10" s="39"/>
      <c r="D10" s="39"/>
      <c r="E10" s="39"/>
      <c r="F10" s="39"/>
      <c r="G10" s="39"/>
      <c r="H10" s="63" t="b">
        <f aca="false">FALSE()</f>
        <v>0</v>
      </c>
      <c r="I10" s="63" t="b">
        <f aca="false">FALSE()</f>
        <v>0</v>
      </c>
      <c r="J10" s="63" t="b">
        <f aca="false">FALSE()</f>
        <v>0</v>
      </c>
      <c r="K10" s="39"/>
      <c r="L10" s="61" t="b">
        <f aca="false">IF('🔍 Search'!$B$2="",B10&lt;&gt;"",ISNUMBER(SEARCH('🔍 Search'!$B$2,B10&amp;" "&amp;C10&amp;" "&amp;D10&amp;" "&amp;E10&amp;" "&amp;K10)))</f>
        <v>0</v>
      </c>
      <c r="M10" s="0" t="str">
        <f aca="false">IF(L10,COUNTIF($L$7:L10,TRUE()),"")</f>
        <v/>
      </c>
    </row>
    <row r="11" customFormat="false" ht="15" hidden="false" customHeight="false" outlineLevel="0" collapsed="false">
      <c r="A11" s="48" t="str">
        <f aca="false">IF(B11="","","F"&amp;TEXT(ROW()-6,"000"))</f>
        <v/>
      </c>
      <c r="B11" s="39"/>
      <c r="C11" s="39"/>
      <c r="D11" s="39"/>
      <c r="E11" s="39"/>
      <c r="F11" s="39"/>
      <c r="G11" s="39"/>
      <c r="H11" s="63" t="b">
        <f aca="false">FALSE()</f>
        <v>0</v>
      </c>
      <c r="I11" s="63" t="b">
        <f aca="false">FALSE()</f>
        <v>0</v>
      </c>
      <c r="J11" s="63" t="b">
        <f aca="false">FALSE()</f>
        <v>0</v>
      </c>
      <c r="K11" s="39"/>
      <c r="L11" s="61" t="b">
        <f aca="false">IF('🔍 Search'!$B$2="",B11&lt;&gt;"",ISNUMBER(SEARCH('🔍 Search'!$B$2,B11&amp;" "&amp;C11&amp;" "&amp;D11&amp;" "&amp;E11&amp;" "&amp;K11)))</f>
        <v>0</v>
      </c>
      <c r="M11" s="0" t="str">
        <f aca="false">IF(L11,COUNTIF($L$7:L11,TRUE()),"")</f>
        <v/>
      </c>
    </row>
    <row r="12" customFormat="false" ht="15" hidden="false" customHeight="false" outlineLevel="0" collapsed="false">
      <c r="A12" s="48" t="str">
        <f aca="false">IF(B12="","","F"&amp;TEXT(ROW()-6,"000"))</f>
        <v/>
      </c>
      <c r="B12" s="39"/>
      <c r="C12" s="39"/>
      <c r="D12" s="39"/>
      <c r="E12" s="39"/>
      <c r="F12" s="39"/>
      <c r="G12" s="39"/>
      <c r="H12" s="63" t="b">
        <f aca="false">FALSE()</f>
        <v>0</v>
      </c>
      <c r="I12" s="63" t="b">
        <f aca="false">FALSE()</f>
        <v>0</v>
      </c>
      <c r="J12" s="63" t="b">
        <f aca="false">FALSE()</f>
        <v>0</v>
      </c>
      <c r="K12" s="39"/>
      <c r="L12" s="61" t="b">
        <f aca="false">IF('🔍 Search'!$B$2="",B12&lt;&gt;"",ISNUMBER(SEARCH('🔍 Search'!$B$2,B12&amp;" "&amp;C12&amp;" "&amp;D12&amp;" "&amp;E12&amp;" "&amp;K12)))</f>
        <v>0</v>
      </c>
      <c r="M12" s="0" t="str">
        <f aca="false">IF(L12,COUNTIF($L$7:L12,TRUE()),"")</f>
        <v/>
      </c>
    </row>
    <row r="13" customFormat="false" ht="15" hidden="false" customHeight="false" outlineLevel="0" collapsed="false">
      <c r="A13" s="48" t="str">
        <f aca="false">IF(B13="","","F"&amp;TEXT(ROW()-6,"000"))</f>
        <v/>
      </c>
      <c r="B13" s="39"/>
      <c r="C13" s="39"/>
      <c r="D13" s="39"/>
      <c r="E13" s="39"/>
      <c r="F13" s="39"/>
      <c r="G13" s="39"/>
      <c r="H13" s="63" t="b">
        <f aca="false">FALSE()</f>
        <v>0</v>
      </c>
      <c r="I13" s="63" t="b">
        <f aca="false">FALSE()</f>
        <v>0</v>
      </c>
      <c r="J13" s="63" t="b">
        <f aca="false">FALSE()</f>
        <v>0</v>
      </c>
      <c r="K13" s="39"/>
      <c r="L13" s="61" t="b">
        <f aca="false">IF('🔍 Search'!$B$2="",B13&lt;&gt;"",ISNUMBER(SEARCH('🔍 Search'!$B$2,B13&amp;" "&amp;C13&amp;" "&amp;D13&amp;" "&amp;E13&amp;" "&amp;K13)))</f>
        <v>0</v>
      </c>
      <c r="M13" s="0" t="str">
        <f aca="false">IF(L13,COUNTIF($L$7:L13,TRUE()),"")</f>
        <v/>
      </c>
    </row>
    <row r="14" customFormat="false" ht="15" hidden="false" customHeight="false" outlineLevel="0" collapsed="false">
      <c r="A14" s="48" t="str">
        <f aca="false">IF(B14="","","F"&amp;TEXT(ROW()-6,"000"))</f>
        <v/>
      </c>
      <c r="B14" s="39"/>
      <c r="C14" s="39"/>
      <c r="D14" s="39"/>
      <c r="E14" s="39"/>
      <c r="F14" s="39"/>
      <c r="G14" s="39"/>
      <c r="H14" s="63" t="b">
        <f aca="false">FALSE()</f>
        <v>0</v>
      </c>
      <c r="I14" s="63" t="b">
        <f aca="false">FALSE()</f>
        <v>0</v>
      </c>
      <c r="J14" s="63" t="b">
        <f aca="false">FALSE()</f>
        <v>0</v>
      </c>
      <c r="K14" s="39"/>
      <c r="L14" s="61" t="b">
        <f aca="false">IF('🔍 Search'!$B$2="",B14&lt;&gt;"",ISNUMBER(SEARCH('🔍 Search'!$B$2,B14&amp;" "&amp;C14&amp;" "&amp;D14&amp;" "&amp;E14&amp;" "&amp;K14)))</f>
        <v>0</v>
      </c>
      <c r="M14" s="0" t="str">
        <f aca="false">IF(L14,COUNTIF($L$7:L14,TRUE()),"")</f>
        <v/>
      </c>
    </row>
    <row r="15" customFormat="false" ht="15" hidden="false" customHeight="false" outlineLevel="0" collapsed="false">
      <c r="A15" s="48" t="str">
        <f aca="false">IF(B15="","","F"&amp;TEXT(ROW()-6,"000"))</f>
        <v/>
      </c>
      <c r="B15" s="39"/>
      <c r="C15" s="39"/>
      <c r="D15" s="39"/>
      <c r="E15" s="39"/>
      <c r="F15" s="39"/>
      <c r="G15" s="39"/>
      <c r="H15" s="63" t="b">
        <f aca="false">FALSE()</f>
        <v>0</v>
      </c>
      <c r="I15" s="63" t="b">
        <f aca="false">FALSE()</f>
        <v>0</v>
      </c>
      <c r="J15" s="63" t="b">
        <f aca="false">FALSE()</f>
        <v>0</v>
      </c>
      <c r="K15" s="39"/>
      <c r="L15" s="61" t="b">
        <f aca="false">IF('🔍 Search'!$B$2="",B15&lt;&gt;"",ISNUMBER(SEARCH('🔍 Search'!$B$2,B15&amp;" "&amp;C15&amp;" "&amp;D15&amp;" "&amp;E15&amp;" "&amp;K15)))</f>
        <v>0</v>
      </c>
      <c r="M15" s="0" t="str">
        <f aca="false">IF(L15,COUNTIF($L$7:L15,TRUE()),"")</f>
        <v/>
      </c>
    </row>
    <row r="16" customFormat="false" ht="15" hidden="false" customHeight="false" outlineLevel="0" collapsed="false">
      <c r="A16" s="48" t="str">
        <f aca="false">IF(B16="","","F"&amp;TEXT(ROW()-6,"000"))</f>
        <v/>
      </c>
      <c r="B16" s="39"/>
      <c r="C16" s="39"/>
      <c r="D16" s="39"/>
      <c r="E16" s="39"/>
      <c r="F16" s="39"/>
      <c r="G16" s="39"/>
      <c r="H16" s="63" t="b">
        <f aca="false">FALSE()</f>
        <v>0</v>
      </c>
      <c r="I16" s="63" t="b">
        <f aca="false">FALSE()</f>
        <v>0</v>
      </c>
      <c r="J16" s="63" t="b">
        <f aca="false">FALSE()</f>
        <v>0</v>
      </c>
      <c r="K16" s="39"/>
      <c r="L16" s="61" t="b">
        <f aca="false">IF('🔍 Search'!$B$2="",B16&lt;&gt;"",ISNUMBER(SEARCH('🔍 Search'!$B$2,B16&amp;" "&amp;C16&amp;" "&amp;D16&amp;" "&amp;E16&amp;" "&amp;K16)))</f>
        <v>0</v>
      </c>
      <c r="M16" s="0" t="str">
        <f aca="false">IF(L16,COUNTIF($L$7:L16,TRUE()),"")</f>
        <v/>
      </c>
    </row>
    <row r="17" customFormat="false" ht="15" hidden="false" customHeight="false" outlineLevel="0" collapsed="false">
      <c r="A17" s="48" t="str">
        <f aca="false">IF(B17="","","F"&amp;TEXT(ROW()-6,"000"))</f>
        <v/>
      </c>
      <c r="B17" s="39"/>
      <c r="C17" s="39"/>
      <c r="D17" s="39"/>
      <c r="E17" s="39"/>
      <c r="F17" s="39"/>
      <c r="G17" s="39"/>
      <c r="H17" s="63" t="b">
        <f aca="false">FALSE()</f>
        <v>0</v>
      </c>
      <c r="I17" s="63" t="b">
        <f aca="false">FALSE()</f>
        <v>0</v>
      </c>
      <c r="J17" s="63" t="b">
        <f aca="false">FALSE()</f>
        <v>0</v>
      </c>
      <c r="K17" s="39"/>
      <c r="L17" s="61" t="b">
        <f aca="false">IF('🔍 Search'!$B$2="",B17&lt;&gt;"",ISNUMBER(SEARCH('🔍 Search'!$B$2,B17&amp;" "&amp;C17&amp;" "&amp;D17&amp;" "&amp;E17&amp;" "&amp;K17)))</f>
        <v>0</v>
      </c>
      <c r="M17" s="0" t="str">
        <f aca="false">IF(L17,COUNTIF($L$7:L17,TRUE()),"")</f>
        <v/>
      </c>
    </row>
    <row r="18" customFormat="false" ht="15" hidden="false" customHeight="false" outlineLevel="0" collapsed="false">
      <c r="A18" s="48" t="str">
        <f aca="false">IF(B18="","","F"&amp;TEXT(ROW()-6,"000"))</f>
        <v/>
      </c>
      <c r="B18" s="39"/>
      <c r="C18" s="39"/>
      <c r="D18" s="39"/>
      <c r="E18" s="39"/>
      <c r="F18" s="39"/>
      <c r="G18" s="39"/>
      <c r="H18" s="63" t="b">
        <f aca="false">FALSE()</f>
        <v>0</v>
      </c>
      <c r="I18" s="63" t="b">
        <f aca="false">FALSE()</f>
        <v>0</v>
      </c>
      <c r="J18" s="63" t="b">
        <f aca="false">FALSE()</f>
        <v>0</v>
      </c>
      <c r="K18" s="39"/>
      <c r="L18" s="61" t="b">
        <f aca="false">IF('🔍 Search'!$B$2="",B18&lt;&gt;"",ISNUMBER(SEARCH('🔍 Search'!$B$2,B18&amp;" "&amp;C18&amp;" "&amp;D18&amp;" "&amp;E18&amp;" "&amp;K18)))</f>
        <v>0</v>
      </c>
      <c r="M18" s="0" t="str">
        <f aca="false">IF(L18,COUNTIF($L$7:L18,TRUE()),"")</f>
        <v/>
      </c>
    </row>
    <row r="19" customFormat="false" ht="15" hidden="false" customHeight="false" outlineLevel="0" collapsed="false">
      <c r="A19" s="48" t="str">
        <f aca="false">IF(B19="","","F"&amp;TEXT(ROW()-6,"000"))</f>
        <v/>
      </c>
      <c r="B19" s="39"/>
      <c r="C19" s="39"/>
      <c r="D19" s="39"/>
      <c r="E19" s="39"/>
      <c r="F19" s="39"/>
      <c r="G19" s="39"/>
      <c r="H19" s="63" t="b">
        <f aca="false">FALSE()</f>
        <v>0</v>
      </c>
      <c r="I19" s="63" t="b">
        <f aca="false">FALSE()</f>
        <v>0</v>
      </c>
      <c r="J19" s="63" t="b">
        <f aca="false">FALSE()</f>
        <v>0</v>
      </c>
      <c r="K19" s="39"/>
      <c r="L19" s="61" t="b">
        <f aca="false">IF('🔍 Search'!$B$2="",B19&lt;&gt;"",ISNUMBER(SEARCH('🔍 Search'!$B$2,B19&amp;" "&amp;C19&amp;" "&amp;D19&amp;" "&amp;E19&amp;" "&amp;K19)))</f>
        <v>0</v>
      </c>
      <c r="M19" s="0" t="str">
        <f aca="false">IF(L19,COUNTIF($L$7:L19,TRUE()),"")</f>
        <v/>
      </c>
    </row>
    <row r="20" customFormat="false" ht="15" hidden="false" customHeight="false" outlineLevel="0" collapsed="false">
      <c r="A20" s="48" t="str">
        <f aca="false">IF(B20="","","F"&amp;TEXT(ROW()-6,"000"))</f>
        <v/>
      </c>
      <c r="B20" s="39"/>
      <c r="C20" s="39"/>
      <c r="D20" s="39"/>
      <c r="E20" s="39"/>
      <c r="F20" s="39"/>
      <c r="G20" s="39"/>
      <c r="H20" s="63" t="b">
        <f aca="false">FALSE()</f>
        <v>0</v>
      </c>
      <c r="I20" s="63" t="b">
        <f aca="false">FALSE()</f>
        <v>0</v>
      </c>
      <c r="J20" s="63" t="b">
        <f aca="false">FALSE()</f>
        <v>0</v>
      </c>
      <c r="K20" s="39"/>
      <c r="L20" s="61" t="b">
        <f aca="false">IF('🔍 Search'!$B$2="",B20&lt;&gt;"",ISNUMBER(SEARCH('🔍 Search'!$B$2,B20&amp;" "&amp;C20&amp;" "&amp;D20&amp;" "&amp;E20&amp;" "&amp;K20)))</f>
        <v>0</v>
      </c>
      <c r="M20" s="0" t="str">
        <f aca="false">IF(L20,COUNTIF($L$7:L20,TRUE()),"")</f>
        <v/>
      </c>
    </row>
    <row r="21" customFormat="false" ht="15" hidden="false" customHeight="false" outlineLevel="0" collapsed="false">
      <c r="A21" s="48" t="str">
        <f aca="false">IF(B21="","","F"&amp;TEXT(ROW()-6,"000"))</f>
        <v/>
      </c>
      <c r="B21" s="39"/>
      <c r="C21" s="39"/>
      <c r="D21" s="39"/>
      <c r="E21" s="39"/>
      <c r="F21" s="39"/>
      <c r="G21" s="39"/>
      <c r="H21" s="63" t="b">
        <f aca="false">FALSE()</f>
        <v>0</v>
      </c>
      <c r="I21" s="63" t="b">
        <f aca="false">FALSE()</f>
        <v>0</v>
      </c>
      <c r="J21" s="63" t="b">
        <f aca="false">FALSE()</f>
        <v>0</v>
      </c>
      <c r="K21" s="39"/>
      <c r="L21" s="61" t="b">
        <f aca="false">IF('🔍 Search'!$B$2="",B21&lt;&gt;"",ISNUMBER(SEARCH('🔍 Search'!$B$2,B21&amp;" "&amp;C21&amp;" "&amp;D21&amp;" "&amp;E21&amp;" "&amp;K21)))</f>
        <v>0</v>
      </c>
      <c r="M21" s="0" t="str">
        <f aca="false">IF(L21,COUNTIF($L$7:L21,TRUE()),"")</f>
        <v/>
      </c>
    </row>
    <row r="22" customFormat="false" ht="15" hidden="false" customHeight="false" outlineLevel="0" collapsed="false">
      <c r="A22" s="48" t="str">
        <f aca="false">IF(B22="","","F"&amp;TEXT(ROW()-6,"000"))</f>
        <v/>
      </c>
      <c r="B22" s="39"/>
      <c r="C22" s="39"/>
      <c r="D22" s="39"/>
      <c r="E22" s="39"/>
      <c r="F22" s="39"/>
      <c r="G22" s="39"/>
      <c r="H22" s="63" t="b">
        <f aca="false">FALSE()</f>
        <v>0</v>
      </c>
      <c r="I22" s="63" t="b">
        <f aca="false">FALSE()</f>
        <v>0</v>
      </c>
      <c r="J22" s="63" t="b">
        <f aca="false">FALSE()</f>
        <v>0</v>
      </c>
      <c r="K22" s="39"/>
      <c r="L22" s="61" t="b">
        <f aca="false">IF('🔍 Search'!$B$2="",B22&lt;&gt;"",ISNUMBER(SEARCH('🔍 Search'!$B$2,B22&amp;" "&amp;C22&amp;" "&amp;D22&amp;" "&amp;E22&amp;" "&amp;K22)))</f>
        <v>0</v>
      </c>
      <c r="M22" s="0" t="str">
        <f aca="false">IF(L22,COUNTIF($L$7:L22,TRUE()),"")</f>
        <v/>
      </c>
    </row>
    <row r="23" customFormat="false" ht="15" hidden="false" customHeight="false" outlineLevel="0" collapsed="false">
      <c r="A23" s="48" t="str">
        <f aca="false">IF(B23="","","F"&amp;TEXT(ROW()-6,"000"))</f>
        <v/>
      </c>
      <c r="B23" s="39"/>
      <c r="C23" s="39"/>
      <c r="D23" s="39"/>
      <c r="E23" s="39"/>
      <c r="F23" s="39"/>
      <c r="G23" s="39"/>
      <c r="H23" s="63" t="b">
        <f aca="false">FALSE()</f>
        <v>0</v>
      </c>
      <c r="I23" s="63" t="b">
        <f aca="false">FALSE()</f>
        <v>0</v>
      </c>
      <c r="J23" s="63" t="b">
        <f aca="false">FALSE()</f>
        <v>0</v>
      </c>
      <c r="K23" s="39"/>
      <c r="L23" s="61" t="b">
        <f aca="false">IF('🔍 Search'!$B$2="",B23&lt;&gt;"",ISNUMBER(SEARCH('🔍 Search'!$B$2,B23&amp;" "&amp;C23&amp;" "&amp;D23&amp;" "&amp;E23&amp;" "&amp;K23)))</f>
        <v>0</v>
      </c>
      <c r="M23" s="0" t="str">
        <f aca="false">IF(L23,COUNTIF($L$7:L23,TRUE()),"")</f>
        <v/>
      </c>
    </row>
    <row r="24" customFormat="false" ht="15" hidden="false" customHeight="false" outlineLevel="0" collapsed="false">
      <c r="A24" s="48" t="str">
        <f aca="false">IF(B24="","","F"&amp;TEXT(ROW()-6,"000"))</f>
        <v/>
      </c>
      <c r="B24" s="39"/>
      <c r="C24" s="39"/>
      <c r="D24" s="39"/>
      <c r="E24" s="39"/>
      <c r="F24" s="39"/>
      <c r="G24" s="39"/>
      <c r="H24" s="63" t="b">
        <f aca="false">FALSE()</f>
        <v>0</v>
      </c>
      <c r="I24" s="63" t="b">
        <f aca="false">FALSE()</f>
        <v>0</v>
      </c>
      <c r="J24" s="63" t="b">
        <f aca="false">FALSE()</f>
        <v>0</v>
      </c>
      <c r="K24" s="39"/>
      <c r="L24" s="61" t="b">
        <f aca="false">IF('🔍 Search'!$B$2="",B24&lt;&gt;"",ISNUMBER(SEARCH('🔍 Search'!$B$2,B24&amp;" "&amp;C24&amp;" "&amp;D24&amp;" "&amp;E24&amp;" "&amp;K24)))</f>
        <v>0</v>
      </c>
      <c r="M24" s="0" t="str">
        <f aca="false">IF(L24,COUNTIF($L$7:L24,TRUE()),"")</f>
        <v/>
      </c>
    </row>
    <row r="25" customFormat="false" ht="15" hidden="false" customHeight="false" outlineLevel="0" collapsed="false">
      <c r="A25" s="48" t="str">
        <f aca="false">IF(B25="","","F"&amp;TEXT(ROW()-6,"000"))</f>
        <v/>
      </c>
      <c r="B25" s="39"/>
      <c r="C25" s="39"/>
      <c r="D25" s="39"/>
      <c r="E25" s="39"/>
      <c r="F25" s="39"/>
      <c r="G25" s="39"/>
      <c r="H25" s="63" t="b">
        <f aca="false">FALSE()</f>
        <v>0</v>
      </c>
      <c r="I25" s="63" t="b">
        <f aca="false">FALSE()</f>
        <v>0</v>
      </c>
      <c r="J25" s="63" t="b">
        <f aca="false">FALSE()</f>
        <v>0</v>
      </c>
      <c r="K25" s="39"/>
      <c r="L25" s="61" t="b">
        <f aca="false">IF('🔍 Search'!$B$2="",B25&lt;&gt;"",ISNUMBER(SEARCH('🔍 Search'!$B$2,B25&amp;" "&amp;C25&amp;" "&amp;D25&amp;" "&amp;E25&amp;" "&amp;K25)))</f>
        <v>0</v>
      </c>
      <c r="M25" s="0" t="str">
        <f aca="false">IF(L25,COUNTIF($L$7:L25,TRUE()),"")</f>
        <v/>
      </c>
    </row>
    <row r="26" customFormat="false" ht="15" hidden="false" customHeight="false" outlineLevel="0" collapsed="false">
      <c r="A26" s="48" t="str">
        <f aca="false">IF(B26="","","F"&amp;TEXT(ROW()-6,"000"))</f>
        <v/>
      </c>
      <c r="B26" s="39"/>
      <c r="C26" s="39"/>
      <c r="D26" s="39"/>
      <c r="E26" s="39"/>
      <c r="F26" s="39"/>
      <c r="G26" s="39"/>
      <c r="H26" s="63" t="b">
        <f aca="false">FALSE()</f>
        <v>0</v>
      </c>
      <c r="I26" s="63" t="b">
        <f aca="false">FALSE()</f>
        <v>0</v>
      </c>
      <c r="J26" s="63" t="b">
        <f aca="false">FALSE()</f>
        <v>0</v>
      </c>
      <c r="K26" s="39"/>
      <c r="L26" s="61" t="b">
        <f aca="false">IF('🔍 Search'!$B$2="",B26&lt;&gt;"",ISNUMBER(SEARCH('🔍 Search'!$B$2,B26&amp;" "&amp;C26&amp;" "&amp;D26&amp;" "&amp;E26&amp;" "&amp;K26)))</f>
        <v>0</v>
      </c>
      <c r="M26" s="0" t="str">
        <f aca="false">IF(L26,COUNTIF($L$7:L26,TRUE()),"")</f>
        <v/>
      </c>
    </row>
    <row r="27" customFormat="false" ht="15" hidden="false" customHeight="false" outlineLevel="0" collapsed="false">
      <c r="A27" s="48" t="str">
        <f aca="false">IF(B27="","","F"&amp;TEXT(ROW()-6,"000"))</f>
        <v/>
      </c>
      <c r="B27" s="39"/>
      <c r="C27" s="39"/>
      <c r="D27" s="39"/>
      <c r="E27" s="39"/>
      <c r="F27" s="39"/>
      <c r="G27" s="39"/>
      <c r="H27" s="63" t="b">
        <f aca="false">FALSE()</f>
        <v>0</v>
      </c>
      <c r="I27" s="63" t="b">
        <f aca="false">FALSE()</f>
        <v>0</v>
      </c>
      <c r="J27" s="63" t="b">
        <f aca="false">FALSE()</f>
        <v>0</v>
      </c>
      <c r="K27" s="39"/>
      <c r="L27" s="61" t="b">
        <f aca="false">IF('🔍 Search'!$B$2="",B27&lt;&gt;"",ISNUMBER(SEARCH('🔍 Search'!$B$2,B27&amp;" "&amp;C27&amp;" "&amp;D27&amp;" "&amp;E27&amp;" "&amp;K27)))</f>
        <v>0</v>
      </c>
      <c r="M27" s="0" t="str">
        <f aca="false">IF(L27,COUNTIF($L$7:L27,TRUE()),"")</f>
        <v/>
      </c>
    </row>
    <row r="28" customFormat="false" ht="15" hidden="false" customHeight="false" outlineLevel="0" collapsed="false">
      <c r="A28" s="48" t="str">
        <f aca="false">IF(B28="","","F"&amp;TEXT(ROW()-6,"000"))</f>
        <v/>
      </c>
      <c r="B28" s="39"/>
      <c r="C28" s="39"/>
      <c r="D28" s="39"/>
      <c r="E28" s="39"/>
      <c r="F28" s="39"/>
      <c r="G28" s="39"/>
      <c r="H28" s="63" t="b">
        <f aca="false">FALSE()</f>
        <v>0</v>
      </c>
      <c r="I28" s="63" t="b">
        <f aca="false">FALSE()</f>
        <v>0</v>
      </c>
      <c r="J28" s="63" t="b">
        <f aca="false">FALSE()</f>
        <v>0</v>
      </c>
      <c r="K28" s="39"/>
      <c r="L28" s="61" t="b">
        <f aca="false">IF('🔍 Search'!$B$2="",B28&lt;&gt;"",ISNUMBER(SEARCH('🔍 Search'!$B$2,B28&amp;" "&amp;C28&amp;" "&amp;D28&amp;" "&amp;E28&amp;" "&amp;K28)))</f>
        <v>0</v>
      </c>
      <c r="M28" s="0" t="str">
        <f aca="false">IF(L28,COUNTIF($L$7:L28,TRUE()),"")</f>
        <v/>
      </c>
    </row>
    <row r="29" customFormat="false" ht="15" hidden="false" customHeight="false" outlineLevel="0" collapsed="false">
      <c r="A29" s="48" t="str">
        <f aca="false">IF(B29="","","F"&amp;TEXT(ROW()-6,"000"))</f>
        <v/>
      </c>
      <c r="B29" s="39"/>
      <c r="C29" s="39"/>
      <c r="D29" s="39"/>
      <c r="E29" s="39"/>
      <c r="F29" s="39"/>
      <c r="G29" s="39"/>
      <c r="H29" s="63" t="b">
        <f aca="false">FALSE()</f>
        <v>0</v>
      </c>
      <c r="I29" s="63" t="b">
        <f aca="false">FALSE()</f>
        <v>0</v>
      </c>
      <c r="J29" s="63" t="b">
        <f aca="false">FALSE()</f>
        <v>0</v>
      </c>
      <c r="K29" s="39"/>
      <c r="L29" s="61" t="b">
        <f aca="false">IF('🔍 Search'!$B$2="",B29&lt;&gt;"",ISNUMBER(SEARCH('🔍 Search'!$B$2,B29&amp;" "&amp;C29&amp;" "&amp;D29&amp;" "&amp;E29&amp;" "&amp;K29)))</f>
        <v>0</v>
      </c>
      <c r="M29" s="0" t="str">
        <f aca="false">IF(L29,COUNTIF($L$7:L29,TRUE()),"")</f>
        <v/>
      </c>
    </row>
    <row r="30" customFormat="false" ht="15" hidden="false" customHeight="false" outlineLevel="0" collapsed="false">
      <c r="A30" s="48" t="str">
        <f aca="false">IF(B30="","","F"&amp;TEXT(ROW()-6,"000"))</f>
        <v/>
      </c>
      <c r="B30" s="39"/>
      <c r="C30" s="39"/>
      <c r="D30" s="39"/>
      <c r="E30" s="39"/>
      <c r="F30" s="39"/>
      <c r="G30" s="39"/>
      <c r="H30" s="63" t="b">
        <f aca="false">FALSE()</f>
        <v>0</v>
      </c>
      <c r="I30" s="63" t="b">
        <f aca="false">FALSE()</f>
        <v>0</v>
      </c>
      <c r="J30" s="63" t="b">
        <f aca="false">FALSE()</f>
        <v>0</v>
      </c>
      <c r="K30" s="39"/>
      <c r="L30" s="61" t="b">
        <f aca="false">IF('🔍 Search'!$B$2="",B30&lt;&gt;"",ISNUMBER(SEARCH('🔍 Search'!$B$2,B30&amp;" "&amp;C30&amp;" "&amp;D30&amp;" "&amp;E30&amp;" "&amp;K30)))</f>
        <v>0</v>
      </c>
      <c r="M30" s="0" t="str">
        <f aca="false">IF(L30,COUNTIF($L$7:L30,TRUE()),"")</f>
        <v/>
      </c>
    </row>
    <row r="31" customFormat="false" ht="15" hidden="false" customHeight="false" outlineLevel="0" collapsed="false">
      <c r="A31" s="48" t="str">
        <f aca="false">IF(B31="","","F"&amp;TEXT(ROW()-6,"000"))</f>
        <v/>
      </c>
      <c r="B31" s="39"/>
      <c r="C31" s="39"/>
      <c r="D31" s="39"/>
      <c r="E31" s="39"/>
      <c r="F31" s="39"/>
      <c r="G31" s="39"/>
      <c r="H31" s="63" t="b">
        <f aca="false">FALSE()</f>
        <v>0</v>
      </c>
      <c r="I31" s="63" t="b">
        <f aca="false">FALSE()</f>
        <v>0</v>
      </c>
      <c r="J31" s="63" t="b">
        <f aca="false">FALSE()</f>
        <v>0</v>
      </c>
      <c r="K31" s="39"/>
      <c r="L31" s="61" t="b">
        <f aca="false">IF('🔍 Search'!$B$2="",B31&lt;&gt;"",ISNUMBER(SEARCH('🔍 Search'!$B$2,B31&amp;" "&amp;C31&amp;" "&amp;D31&amp;" "&amp;E31&amp;" "&amp;K31)))</f>
        <v>0</v>
      </c>
      <c r="M31" s="0" t="str">
        <f aca="false">IF(L31,COUNTIF($L$7:L31,TRUE()),"")</f>
        <v/>
      </c>
    </row>
    <row r="32" customFormat="false" ht="15" hidden="false" customHeight="false" outlineLevel="0" collapsed="false">
      <c r="A32" s="48" t="str">
        <f aca="false">IF(B32="","","F"&amp;TEXT(ROW()-6,"000"))</f>
        <v/>
      </c>
      <c r="B32" s="39"/>
      <c r="C32" s="39"/>
      <c r="D32" s="39"/>
      <c r="E32" s="39"/>
      <c r="F32" s="39"/>
      <c r="G32" s="39"/>
      <c r="H32" s="63" t="b">
        <f aca="false">FALSE()</f>
        <v>0</v>
      </c>
      <c r="I32" s="63" t="b">
        <f aca="false">FALSE()</f>
        <v>0</v>
      </c>
      <c r="J32" s="63" t="b">
        <f aca="false">FALSE()</f>
        <v>0</v>
      </c>
      <c r="K32" s="39"/>
      <c r="L32" s="61" t="b">
        <f aca="false">IF('🔍 Search'!$B$2="",B32&lt;&gt;"",ISNUMBER(SEARCH('🔍 Search'!$B$2,B32&amp;" "&amp;C32&amp;" "&amp;D32&amp;" "&amp;E32&amp;" "&amp;K32)))</f>
        <v>0</v>
      </c>
      <c r="M32" s="0" t="str">
        <f aca="false">IF(L32,COUNTIF($L$7:L32,TRUE()),"")</f>
        <v/>
      </c>
    </row>
    <row r="33" customFormat="false" ht="15" hidden="false" customHeight="false" outlineLevel="0" collapsed="false">
      <c r="A33" s="48" t="str">
        <f aca="false">IF(B33="","","F"&amp;TEXT(ROW()-6,"000"))</f>
        <v/>
      </c>
      <c r="B33" s="39"/>
      <c r="C33" s="39"/>
      <c r="D33" s="39"/>
      <c r="E33" s="39"/>
      <c r="F33" s="39"/>
      <c r="G33" s="39"/>
      <c r="H33" s="63" t="b">
        <f aca="false">FALSE()</f>
        <v>0</v>
      </c>
      <c r="I33" s="63" t="b">
        <f aca="false">FALSE()</f>
        <v>0</v>
      </c>
      <c r="J33" s="63" t="b">
        <f aca="false">FALSE()</f>
        <v>0</v>
      </c>
      <c r="K33" s="39"/>
      <c r="L33" s="61" t="b">
        <f aca="false">IF('🔍 Search'!$B$2="",B33&lt;&gt;"",ISNUMBER(SEARCH('🔍 Search'!$B$2,B33&amp;" "&amp;C33&amp;" "&amp;D33&amp;" "&amp;E33&amp;" "&amp;K33)))</f>
        <v>0</v>
      </c>
      <c r="M33" s="0" t="str">
        <f aca="false">IF(L33,COUNTIF($L$7:L33,TRUE()),"")</f>
        <v/>
      </c>
    </row>
    <row r="34" customFormat="false" ht="15" hidden="false" customHeight="false" outlineLevel="0" collapsed="false">
      <c r="A34" s="48" t="str">
        <f aca="false">IF(B34="","","F"&amp;TEXT(ROW()-6,"000"))</f>
        <v/>
      </c>
      <c r="B34" s="39"/>
      <c r="C34" s="39"/>
      <c r="D34" s="39"/>
      <c r="E34" s="39"/>
      <c r="F34" s="39"/>
      <c r="G34" s="39"/>
      <c r="H34" s="63" t="b">
        <f aca="false">FALSE()</f>
        <v>0</v>
      </c>
      <c r="I34" s="63" t="b">
        <f aca="false">FALSE()</f>
        <v>0</v>
      </c>
      <c r="J34" s="63" t="b">
        <f aca="false">FALSE()</f>
        <v>0</v>
      </c>
      <c r="K34" s="39"/>
      <c r="L34" s="61" t="b">
        <f aca="false">IF('🔍 Search'!$B$2="",B34&lt;&gt;"",ISNUMBER(SEARCH('🔍 Search'!$B$2,B34&amp;" "&amp;C34&amp;" "&amp;D34&amp;" "&amp;E34&amp;" "&amp;K34)))</f>
        <v>0</v>
      </c>
      <c r="M34" s="0" t="str">
        <f aca="false">IF(L34,COUNTIF($L$7:L34,TRUE()),"")</f>
        <v/>
      </c>
    </row>
    <row r="35" customFormat="false" ht="15" hidden="false" customHeight="false" outlineLevel="0" collapsed="false">
      <c r="A35" s="48" t="str">
        <f aca="false">IF(B35="","","F"&amp;TEXT(ROW()-6,"000"))</f>
        <v/>
      </c>
      <c r="B35" s="39"/>
      <c r="C35" s="39"/>
      <c r="D35" s="39"/>
      <c r="E35" s="39"/>
      <c r="F35" s="39"/>
      <c r="G35" s="39"/>
      <c r="H35" s="63" t="b">
        <f aca="false">FALSE()</f>
        <v>0</v>
      </c>
      <c r="I35" s="63" t="b">
        <f aca="false">FALSE()</f>
        <v>0</v>
      </c>
      <c r="J35" s="63" t="b">
        <f aca="false">FALSE()</f>
        <v>0</v>
      </c>
      <c r="K35" s="39"/>
      <c r="L35" s="61" t="b">
        <f aca="false">IF('🔍 Search'!$B$2="",B35&lt;&gt;"",ISNUMBER(SEARCH('🔍 Search'!$B$2,B35&amp;" "&amp;C35&amp;" "&amp;D35&amp;" "&amp;E35&amp;" "&amp;K35)))</f>
        <v>0</v>
      </c>
      <c r="M35" s="0" t="str">
        <f aca="false">IF(L35,COUNTIF($L$7:L35,TRUE()),"")</f>
        <v/>
      </c>
    </row>
    <row r="36" customFormat="false" ht="15" hidden="false" customHeight="false" outlineLevel="0" collapsed="false">
      <c r="A36" s="48" t="str">
        <f aca="false">IF(B36="","","F"&amp;TEXT(ROW()-6,"000"))</f>
        <v/>
      </c>
      <c r="B36" s="39"/>
      <c r="C36" s="39"/>
      <c r="D36" s="39"/>
      <c r="E36" s="39"/>
      <c r="F36" s="39"/>
      <c r="G36" s="39"/>
      <c r="H36" s="63" t="b">
        <f aca="false">FALSE()</f>
        <v>0</v>
      </c>
      <c r="I36" s="63" t="b">
        <f aca="false">FALSE()</f>
        <v>0</v>
      </c>
      <c r="J36" s="63" t="b">
        <f aca="false">FALSE()</f>
        <v>0</v>
      </c>
      <c r="K36" s="39"/>
      <c r="L36" s="61" t="b">
        <f aca="false">IF('🔍 Search'!$B$2="",B36&lt;&gt;"",ISNUMBER(SEARCH('🔍 Search'!$B$2,B36&amp;" "&amp;C36&amp;" "&amp;D36&amp;" "&amp;E36&amp;" "&amp;K36)))</f>
        <v>0</v>
      </c>
      <c r="M36" s="0" t="str">
        <f aca="false">IF(L36,COUNTIF($L$7:L36,TRUE()),"")</f>
        <v/>
      </c>
    </row>
    <row r="37" customFormat="false" ht="15" hidden="false" customHeight="false" outlineLevel="0" collapsed="false">
      <c r="A37" s="48" t="str">
        <f aca="false">IF(B37="","","F"&amp;TEXT(ROW()-6,"000"))</f>
        <v/>
      </c>
      <c r="B37" s="39"/>
      <c r="C37" s="39"/>
      <c r="D37" s="39"/>
      <c r="E37" s="39"/>
      <c r="F37" s="39"/>
      <c r="G37" s="39"/>
      <c r="H37" s="63" t="b">
        <f aca="false">FALSE()</f>
        <v>0</v>
      </c>
      <c r="I37" s="63" t="b">
        <f aca="false">FALSE()</f>
        <v>0</v>
      </c>
      <c r="J37" s="63" t="b">
        <f aca="false">FALSE()</f>
        <v>0</v>
      </c>
      <c r="K37" s="39"/>
      <c r="L37" s="61" t="b">
        <f aca="false">IF('🔍 Search'!$B$2="",B37&lt;&gt;"",ISNUMBER(SEARCH('🔍 Search'!$B$2,B37&amp;" "&amp;C37&amp;" "&amp;D37&amp;" "&amp;E37&amp;" "&amp;K37)))</f>
        <v>0</v>
      </c>
      <c r="M37" s="0" t="str">
        <f aca="false">IF(L37,COUNTIF($L$7:L37,TRUE()),"")</f>
        <v/>
      </c>
    </row>
    <row r="38" customFormat="false" ht="15" hidden="false" customHeight="false" outlineLevel="0" collapsed="false">
      <c r="A38" s="48" t="str">
        <f aca="false">IF(B38="","","F"&amp;TEXT(ROW()-6,"000"))</f>
        <v/>
      </c>
      <c r="B38" s="39"/>
      <c r="C38" s="39"/>
      <c r="D38" s="39"/>
      <c r="E38" s="39"/>
      <c r="F38" s="39"/>
      <c r="G38" s="39"/>
      <c r="H38" s="63" t="b">
        <f aca="false">FALSE()</f>
        <v>0</v>
      </c>
      <c r="I38" s="63" t="b">
        <f aca="false">FALSE()</f>
        <v>0</v>
      </c>
      <c r="J38" s="63" t="b">
        <f aca="false">FALSE()</f>
        <v>0</v>
      </c>
      <c r="K38" s="39"/>
      <c r="L38" s="61" t="b">
        <f aca="false">IF('🔍 Search'!$B$2="",B38&lt;&gt;"",ISNUMBER(SEARCH('🔍 Search'!$B$2,B38&amp;" "&amp;C38&amp;" "&amp;D38&amp;" "&amp;E38&amp;" "&amp;K38)))</f>
        <v>0</v>
      </c>
      <c r="M38" s="0" t="str">
        <f aca="false">IF(L38,COUNTIF($L$7:L38,TRUE()),"")</f>
        <v/>
      </c>
    </row>
    <row r="39" customFormat="false" ht="15" hidden="false" customHeight="false" outlineLevel="0" collapsed="false">
      <c r="A39" s="48" t="str">
        <f aca="false">IF(B39="","","F"&amp;TEXT(ROW()-6,"000"))</f>
        <v/>
      </c>
      <c r="B39" s="39"/>
      <c r="C39" s="39"/>
      <c r="D39" s="39"/>
      <c r="E39" s="39"/>
      <c r="F39" s="39"/>
      <c r="G39" s="39"/>
      <c r="H39" s="63" t="b">
        <f aca="false">FALSE()</f>
        <v>0</v>
      </c>
      <c r="I39" s="63" t="b">
        <f aca="false">FALSE()</f>
        <v>0</v>
      </c>
      <c r="J39" s="63" t="b">
        <f aca="false">FALSE()</f>
        <v>0</v>
      </c>
      <c r="K39" s="39"/>
      <c r="L39" s="61" t="b">
        <f aca="false">IF('🔍 Search'!$B$2="",B39&lt;&gt;"",ISNUMBER(SEARCH('🔍 Search'!$B$2,B39&amp;" "&amp;C39&amp;" "&amp;D39&amp;" "&amp;E39&amp;" "&amp;K39)))</f>
        <v>0</v>
      </c>
      <c r="M39" s="0" t="str">
        <f aca="false">IF(L39,COUNTIF($L$7:L39,TRUE()),"")</f>
        <v/>
      </c>
    </row>
    <row r="40" customFormat="false" ht="15" hidden="false" customHeight="false" outlineLevel="0" collapsed="false">
      <c r="A40" s="48" t="str">
        <f aca="false">IF(B40="","","F"&amp;TEXT(ROW()-6,"000"))</f>
        <v/>
      </c>
      <c r="B40" s="39"/>
      <c r="C40" s="39"/>
      <c r="D40" s="39"/>
      <c r="E40" s="39"/>
      <c r="F40" s="39"/>
      <c r="G40" s="39"/>
      <c r="H40" s="63" t="b">
        <f aca="false">FALSE()</f>
        <v>0</v>
      </c>
      <c r="I40" s="63" t="b">
        <f aca="false">FALSE()</f>
        <v>0</v>
      </c>
      <c r="J40" s="63" t="b">
        <f aca="false">FALSE()</f>
        <v>0</v>
      </c>
      <c r="K40" s="39"/>
      <c r="L40" s="61" t="b">
        <f aca="false">IF('🔍 Search'!$B$2="",B40&lt;&gt;"",ISNUMBER(SEARCH('🔍 Search'!$B$2,B40&amp;" "&amp;C40&amp;" "&amp;D40&amp;" "&amp;E40&amp;" "&amp;K40)))</f>
        <v>0</v>
      </c>
      <c r="M40" s="0" t="str">
        <f aca="false">IF(L40,COUNTIF($L$7:L40,TRUE()),"")</f>
        <v/>
      </c>
    </row>
    <row r="41" customFormat="false" ht="15" hidden="false" customHeight="false" outlineLevel="0" collapsed="false">
      <c r="A41" s="48" t="str">
        <f aca="false">IF(B41="","","F"&amp;TEXT(ROW()-6,"000"))</f>
        <v/>
      </c>
      <c r="B41" s="39"/>
      <c r="C41" s="39"/>
      <c r="D41" s="39"/>
      <c r="E41" s="39"/>
      <c r="F41" s="39"/>
      <c r="G41" s="39"/>
      <c r="H41" s="63" t="b">
        <f aca="false">FALSE()</f>
        <v>0</v>
      </c>
      <c r="I41" s="63" t="b">
        <f aca="false">FALSE()</f>
        <v>0</v>
      </c>
      <c r="J41" s="63" t="b">
        <f aca="false">FALSE()</f>
        <v>0</v>
      </c>
      <c r="K41" s="39"/>
      <c r="L41" s="61" t="b">
        <f aca="false">IF('🔍 Search'!$B$2="",B41&lt;&gt;"",ISNUMBER(SEARCH('🔍 Search'!$B$2,B41&amp;" "&amp;C41&amp;" "&amp;D41&amp;" "&amp;E41&amp;" "&amp;K41)))</f>
        <v>0</v>
      </c>
      <c r="M41" s="0" t="str">
        <f aca="false">IF(L41,COUNTIF($L$7:L41,TRUE()),"")</f>
        <v/>
      </c>
    </row>
    <row r="42" customFormat="false" ht="15" hidden="false" customHeight="false" outlineLevel="0" collapsed="false">
      <c r="A42" s="48" t="str">
        <f aca="false">IF(B42="","","F"&amp;TEXT(ROW()-6,"000"))</f>
        <v/>
      </c>
      <c r="B42" s="39"/>
      <c r="C42" s="39"/>
      <c r="D42" s="39"/>
      <c r="E42" s="39"/>
      <c r="F42" s="39"/>
      <c r="G42" s="39"/>
      <c r="H42" s="63" t="b">
        <f aca="false">FALSE()</f>
        <v>0</v>
      </c>
      <c r="I42" s="63" t="b">
        <f aca="false">FALSE()</f>
        <v>0</v>
      </c>
      <c r="J42" s="63" t="b">
        <f aca="false">FALSE()</f>
        <v>0</v>
      </c>
      <c r="K42" s="39"/>
      <c r="L42" s="61" t="b">
        <f aca="false">IF('🔍 Search'!$B$2="",B42&lt;&gt;"",ISNUMBER(SEARCH('🔍 Search'!$B$2,B42&amp;" "&amp;C42&amp;" "&amp;D42&amp;" "&amp;E42&amp;" "&amp;K42)))</f>
        <v>0</v>
      </c>
      <c r="M42" s="0" t="str">
        <f aca="false">IF(L42,COUNTIF($L$7:L42,TRUE()),"")</f>
        <v/>
      </c>
    </row>
    <row r="43" customFormat="false" ht="15" hidden="false" customHeight="false" outlineLevel="0" collapsed="false">
      <c r="A43" s="48" t="str">
        <f aca="false">IF(B43="","","F"&amp;TEXT(ROW()-6,"000"))</f>
        <v/>
      </c>
      <c r="B43" s="39"/>
      <c r="C43" s="39"/>
      <c r="D43" s="39"/>
      <c r="E43" s="39"/>
      <c r="F43" s="39"/>
      <c r="G43" s="39"/>
      <c r="H43" s="63" t="b">
        <f aca="false">FALSE()</f>
        <v>0</v>
      </c>
      <c r="I43" s="63" t="b">
        <f aca="false">FALSE()</f>
        <v>0</v>
      </c>
      <c r="J43" s="63" t="b">
        <f aca="false">FALSE()</f>
        <v>0</v>
      </c>
      <c r="K43" s="39"/>
      <c r="L43" s="61" t="b">
        <f aca="false">IF('🔍 Search'!$B$2="",B43&lt;&gt;"",ISNUMBER(SEARCH('🔍 Search'!$B$2,B43&amp;" "&amp;C43&amp;" "&amp;D43&amp;" "&amp;E43&amp;" "&amp;K43)))</f>
        <v>0</v>
      </c>
      <c r="M43" s="0" t="str">
        <f aca="false">IF(L43,COUNTIF($L$7:L43,TRUE()),"")</f>
        <v/>
      </c>
    </row>
    <row r="44" customFormat="false" ht="15" hidden="false" customHeight="false" outlineLevel="0" collapsed="false">
      <c r="A44" s="48" t="str">
        <f aca="false">IF(B44="","","F"&amp;TEXT(ROW()-6,"000"))</f>
        <v/>
      </c>
      <c r="B44" s="39"/>
      <c r="C44" s="39"/>
      <c r="D44" s="39"/>
      <c r="E44" s="39"/>
      <c r="F44" s="39"/>
      <c r="G44" s="39"/>
      <c r="H44" s="63" t="b">
        <f aca="false">FALSE()</f>
        <v>0</v>
      </c>
      <c r="I44" s="63" t="b">
        <f aca="false">FALSE()</f>
        <v>0</v>
      </c>
      <c r="J44" s="63" t="b">
        <f aca="false">FALSE()</f>
        <v>0</v>
      </c>
      <c r="K44" s="39"/>
      <c r="L44" s="61" t="b">
        <f aca="false">IF('🔍 Search'!$B$2="",B44&lt;&gt;"",ISNUMBER(SEARCH('🔍 Search'!$B$2,B44&amp;" "&amp;C44&amp;" "&amp;D44&amp;" "&amp;E44&amp;" "&amp;K44)))</f>
        <v>0</v>
      </c>
      <c r="M44" s="0" t="str">
        <f aca="false">IF(L44,COUNTIF($L$7:L44,TRUE()),"")</f>
        <v/>
      </c>
    </row>
    <row r="45" customFormat="false" ht="15" hidden="false" customHeight="false" outlineLevel="0" collapsed="false">
      <c r="A45" s="48" t="str">
        <f aca="false">IF(B45="","","F"&amp;TEXT(ROW()-6,"000"))</f>
        <v/>
      </c>
      <c r="B45" s="39"/>
      <c r="C45" s="39"/>
      <c r="D45" s="39"/>
      <c r="E45" s="39"/>
      <c r="F45" s="39"/>
      <c r="G45" s="39"/>
      <c r="H45" s="63" t="b">
        <f aca="false">FALSE()</f>
        <v>0</v>
      </c>
      <c r="I45" s="63" t="b">
        <f aca="false">FALSE()</f>
        <v>0</v>
      </c>
      <c r="J45" s="63" t="b">
        <f aca="false">FALSE()</f>
        <v>0</v>
      </c>
      <c r="K45" s="39"/>
      <c r="L45" s="61" t="b">
        <f aca="false">IF('🔍 Search'!$B$2="",B45&lt;&gt;"",ISNUMBER(SEARCH('🔍 Search'!$B$2,B45&amp;" "&amp;C45&amp;" "&amp;D45&amp;" "&amp;E45&amp;" "&amp;K45)))</f>
        <v>0</v>
      </c>
      <c r="M45" s="0" t="str">
        <f aca="false">IF(L45,COUNTIF($L$7:L45,TRUE()),"")</f>
        <v/>
      </c>
    </row>
    <row r="46" customFormat="false" ht="15" hidden="false" customHeight="false" outlineLevel="0" collapsed="false">
      <c r="A46" s="48" t="str">
        <f aca="false">IF(B46="","","F"&amp;TEXT(ROW()-6,"000"))</f>
        <v/>
      </c>
      <c r="B46" s="39"/>
      <c r="C46" s="39"/>
      <c r="D46" s="39"/>
      <c r="E46" s="39"/>
      <c r="F46" s="39"/>
      <c r="G46" s="39"/>
      <c r="H46" s="63" t="b">
        <f aca="false">FALSE()</f>
        <v>0</v>
      </c>
      <c r="I46" s="63" t="b">
        <f aca="false">FALSE()</f>
        <v>0</v>
      </c>
      <c r="J46" s="63" t="b">
        <f aca="false">FALSE()</f>
        <v>0</v>
      </c>
      <c r="K46" s="39"/>
      <c r="L46" s="61" t="b">
        <f aca="false">IF('🔍 Search'!$B$2="",B46&lt;&gt;"",ISNUMBER(SEARCH('🔍 Search'!$B$2,B46&amp;" "&amp;C46&amp;" "&amp;D46&amp;" "&amp;E46&amp;" "&amp;K46)))</f>
        <v>0</v>
      </c>
      <c r="M46" s="0" t="str">
        <f aca="false">IF(L46,COUNTIF($L$7:L46,TRUE()),"")</f>
        <v/>
      </c>
    </row>
    <row r="47" customFormat="false" ht="15" hidden="false" customHeight="false" outlineLevel="0" collapsed="false">
      <c r="A47" s="48" t="str">
        <f aca="false">IF(B47="","","F"&amp;TEXT(ROW()-6,"000"))</f>
        <v/>
      </c>
      <c r="B47" s="39"/>
      <c r="C47" s="39"/>
      <c r="D47" s="39"/>
      <c r="E47" s="39"/>
      <c r="F47" s="39"/>
      <c r="G47" s="39"/>
      <c r="H47" s="63" t="b">
        <f aca="false">FALSE()</f>
        <v>0</v>
      </c>
      <c r="I47" s="63" t="b">
        <f aca="false">FALSE()</f>
        <v>0</v>
      </c>
      <c r="J47" s="63" t="b">
        <f aca="false">FALSE()</f>
        <v>0</v>
      </c>
      <c r="K47" s="39"/>
      <c r="L47" s="61" t="b">
        <f aca="false">IF('🔍 Search'!$B$2="",B47&lt;&gt;"",ISNUMBER(SEARCH('🔍 Search'!$B$2,B47&amp;" "&amp;C47&amp;" "&amp;D47&amp;" "&amp;E47&amp;" "&amp;K47)))</f>
        <v>0</v>
      </c>
      <c r="M47" s="0" t="str">
        <f aca="false">IF(L47,COUNTIF($L$7:L47,TRUE()),"")</f>
        <v/>
      </c>
    </row>
    <row r="48" customFormat="false" ht="15" hidden="false" customHeight="false" outlineLevel="0" collapsed="false">
      <c r="A48" s="48" t="str">
        <f aca="false">IF(B48="","","F"&amp;TEXT(ROW()-6,"000"))</f>
        <v/>
      </c>
      <c r="B48" s="39"/>
      <c r="C48" s="39"/>
      <c r="D48" s="39"/>
      <c r="E48" s="39"/>
      <c r="F48" s="39"/>
      <c r="G48" s="39"/>
      <c r="H48" s="63" t="b">
        <f aca="false">FALSE()</f>
        <v>0</v>
      </c>
      <c r="I48" s="63" t="b">
        <f aca="false">FALSE()</f>
        <v>0</v>
      </c>
      <c r="J48" s="63" t="b">
        <f aca="false">FALSE()</f>
        <v>0</v>
      </c>
      <c r="K48" s="39"/>
      <c r="L48" s="61" t="b">
        <f aca="false">IF('🔍 Search'!$B$2="",B48&lt;&gt;"",ISNUMBER(SEARCH('🔍 Search'!$B$2,B48&amp;" "&amp;C48&amp;" "&amp;D48&amp;" "&amp;E48&amp;" "&amp;K48)))</f>
        <v>0</v>
      </c>
      <c r="M48" s="0" t="str">
        <f aca="false">IF(L48,COUNTIF($L$7:L48,TRUE()),"")</f>
        <v/>
      </c>
    </row>
    <row r="49" customFormat="false" ht="15" hidden="false" customHeight="false" outlineLevel="0" collapsed="false">
      <c r="A49" s="48" t="str">
        <f aca="false">IF(B49="","","F"&amp;TEXT(ROW()-6,"000"))</f>
        <v/>
      </c>
      <c r="B49" s="39"/>
      <c r="C49" s="39"/>
      <c r="D49" s="39"/>
      <c r="E49" s="39"/>
      <c r="F49" s="39"/>
      <c r="G49" s="39"/>
      <c r="H49" s="63" t="b">
        <f aca="false">FALSE()</f>
        <v>0</v>
      </c>
      <c r="I49" s="63" t="b">
        <f aca="false">FALSE()</f>
        <v>0</v>
      </c>
      <c r="J49" s="63" t="b">
        <f aca="false">FALSE()</f>
        <v>0</v>
      </c>
      <c r="K49" s="39"/>
      <c r="L49" s="61" t="b">
        <f aca="false">IF('🔍 Search'!$B$2="",B49&lt;&gt;"",ISNUMBER(SEARCH('🔍 Search'!$B$2,B49&amp;" "&amp;C49&amp;" "&amp;D49&amp;" "&amp;E49&amp;" "&amp;K49)))</f>
        <v>0</v>
      </c>
      <c r="M49" s="0" t="str">
        <f aca="false">IF(L49,COUNTIF($L$7:L49,TRUE()),"")</f>
        <v/>
      </c>
    </row>
    <row r="50" customFormat="false" ht="15" hidden="false" customHeight="false" outlineLevel="0" collapsed="false">
      <c r="A50" s="48" t="str">
        <f aca="false">IF(B50="","","F"&amp;TEXT(ROW()-6,"000"))</f>
        <v/>
      </c>
      <c r="B50" s="39"/>
      <c r="C50" s="39"/>
      <c r="D50" s="39"/>
      <c r="E50" s="39"/>
      <c r="F50" s="39"/>
      <c r="G50" s="39"/>
      <c r="H50" s="63" t="b">
        <f aca="false">FALSE()</f>
        <v>0</v>
      </c>
      <c r="I50" s="63" t="b">
        <f aca="false">FALSE()</f>
        <v>0</v>
      </c>
      <c r="J50" s="63" t="b">
        <f aca="false">FALSE()</f>
        <v>0</v>
      </c>
      <c r="K50" s="39"/>
      <c r="L50" s="61" t="b">
        <f aca="false">IF('🔍 Search'!$B$2="",B50&lt;&gt;"",ISNUMBER(SEARCH('🔍 Search'!$B$2,B50&amp;" "&amp;C50&amp;" "&amp;D50&amp;" "&amp;E50&amp;" "&amp;K50)))</f>
        <v>0</v>
      </c>
      <c r="M50" s="0" t="str">
        <f aca="false">IF(L50,COUNTIF($L$7:L50,TRUE()),"")</f>
        <v/>
      </c>
    </row>
    <row r="51" customFormat="false" ht="15" hidden="false" customHeight="false" outlineLevel="0" collapsed="false">
      <c r="A51" s="48" t="str">
        <f aca="false">IF(B51="","","F"&amp;TEXT(ROW()-6,"000"))</f>
        <v/>
      </c>
      <c r="B51" s="39"/>
      <c r="C51" s="39"/>
      <c r="D51" s="39"/>
      <c r="E51" s="39"/>
      <c r="F51" s="39"/>
      <c r="G51" s="39"/>
      <c r="H51" s="63" t="b">
        <f aca="false">FALSE()</f>
        <v>0</v>
      </c>
      <c r="I51" s="63" t="b">
        <f aca="false">FALSE()</f>
        <v>0</v>
      </c>
      <c r="J51" s="63" t="b">
        <f aca="false">FALSE()</f>
        <v>0</v>
      </c>
      <c r="K51" s="39"/>
      <c r="L51" s="61" t="b">
        <f aca="false">IF('🔍 Search'!$B$2="",B51&lt;&gt;"",ISNUMBER(SEARCH('🔍 Search'!$B$2,B51&amp;" "&amp;C51&amp;" "&amp;D51&amp;" "&amp;E51&amp;" "&amp;K51)))</f>
        <v>0</v>
      </c>
      <c r="M51" s="0" t="str">
        <f aca="false">IF(L51,COUNTIF($L$7:L51,TRUE()),"")</f>
        <v/>
      </c>
    </row>
    <row r="52" customFormat="false" ht="15" hidden="false" customHeight="false" outlineLevel="0" collapsed="false">
      <c r="A52" s="48" t="str">
        <f aca="false">IF(B52="","","F"&amp;TEXT(ROW()-6,"000"))</f>
        <v/>
      </c>
      <c r="B52" s="39"/>
      <c r="C52" s="39"/>
      <c r="D52" s="39"/>
      <c r="E52" s="39"/>
      <c r="F52" s="39"/>
      <c r="G52" s="39"/>
      <c r="H52" s="63" t="b">
        <f aca="false">FALSE()</f>
        <v>0</v>
      </c>
      <c r="I52" s="63" t="b">
        <f aca="false">FALSE()</f>
        <v>0</v>
      </c>
      <c r="J52" s="63" t="b">
        <f aca="false">FALSE()</f>
        <v>0</v>
      </c>
      <c r="K52" s="39"/>
      <c r="L52" s="61" t="b">
        <f aca="false">IF('🔍 Search'!$B$2="",B52&lt;&gt;"",ISNUMBER(SEARCH('🔍 Search'!$B$2,B52&amp;" "&amp;C52&amp;" "&amp;D52&amp;" "&amp;E52&amp;" "&amp;K52)))</f>
        <v>0</v>
      </c>
      <c r="M52" s="0" t="str">
        <f aca="false">IF(L52,COUNTIF($L$7:L52,TRUE()),"")</f>
        <v/>
      </c>
    </row>
    <row r="53" customFormat="false" ht="15" hidden="false" customHeight="false" outlineLevel="0" collapsed="false">
      <c r="A53" s="48" t="str">
        <f aca="false">IF(B53="","","F"&amp;TEXT(ROW()-6,"000"))</f>
        <v/>
      </c>
      <c r="B53" s="39"/>
      <c r="C53" s="39"/>
      <c r="D53" s="39"/>
      <c r="E53" s="39"/>
      <c r="F53" s="39"/>
      <c r="G53" s="39"/>
      <c r="H53" s="63" t="b">
        <f aca="false">FALSE()</f>
        <v>0</v>
      </c>
      <c r="I53" s="63" t="b">
        <f aca="false">FALSE()</f>
        <v>0</v>
      </c>
      <c r="J53" s="63" t="b">
        <f aca="false">FALSE()</f>
        <v>0</v>
      </c>
      <c r="K53" s="39"/>
      <c r="L53" s="61" t="b">
        <f aca="false">IF('🔍 Search'!$B$2="",B53&lt;&gt;"",ISNUMBER(SEARCH('🔍 Search'!$B$2,B53&amp;" "&amp;C53&amp;" "&amp;D53&amp;" "&amp;E53&amp;" "&amp;K53)))</f>
        <v>0</v>
      </c>
      <c r="M53" s="0" t="str">
        <f aca="false">IF(L53,COUNTIF($L$7:L53,TRUE()),"")</f>
        <v/>
      </c>
    </row>
    <row r="54" customFormat="false" ht="15" hidden="false" customHeight="false" outlineLevel="0" collapsed="false">
      <c r="A54" s="48" t="str">
        <f aca="false">IF(B54="","","F"&amp;TEXT(ROW()-6,"000"))</f>
        <v/>
      </c>
      <c r="B54" s="39"/>
      <c r="C54" s="39"/>
      <c r="D54" s="39"/>
      <c r="E54" s="39"/>
      <c r="F54" s="39"/>
      <c r="G54" s="39"/>
      <c r="H54" s="63" t="b">
        <f aca="false">FALSE()</f>
        <v>0</v>
      </c>
      <c r="I54" s="63" t="b">
        <f aca="false">FALSE()</f>
        <v>0</v>
      </c>
      <c r="J54" s="63" t="b">
        <f aca="false">FALSE()</f>
        <v>0</v>
      </c>
      <c r="K54" s="39"/>
      <c r="L54" s="61" t="b">
        <f aca="false">IF('🔍 Search'!$B$2="",B54&lt;&gt;"",ISNUMBER(SEARCH('🔍 Search'!$B$2,B54&amp;" "&amp;C54&amp;" "&amp;D54&amp;" "&amp;E54&amp;" "&amp;K54)))</f>
        <v>0</v>
      </c>
      <c r="M54" s="0" t="str">
        <f aca="false">IF(L54,COUNTIF($L$7:L54,TRUE()),"")</f>
        <v/>
      </c>
    </row>
    <row r="55" customFormat="false" ht="15" hidden="false" customHeight="false" outlineLevel="0" collapsed="false">
      <c r="A55" s="48" t="str">
        <f aca="false">IF(B55="","","F"&amp;TEXT(ROW()-6,"000"))</f>
        <v/>
      </c>
      <c r="B55" s="39"/>
      <c r="C55" s="39"/>
      <c r="D55" s="39"/>
      <c r="E55" s="39"/>
      <c r="F55" s="39"/>
      <c r="G55" s="39"/>
      <c r="H55" s="63" t="b">
        <f aca="false">FALSE()</f>
        <v>0</v>
      </c>
      <c r="I55" s="63" t="b">
        <f aca="false">FALSE()</f>
        <v>0</v>
      </c>
      <c r="J55" s="63" t="b">
        <f aca="false">FALSE()</f>
        <v>0</v>
      </c>
      <c r="K55" s="39"/>
      <c r="L55" s="61" t="b">
        <f aca="false">IF('🔍 Search'!$B$2="",B55&lt;&gt;"",ISNUMBER(SEARCH('🔍 Search'!$B$2,B55&amp;" "&amp;C55&amp;" "&amp;D55&amp;" "&amp;E55&amp;" "&amp;K55)))</f>
        <v>0</v>
      </c>
      <c r="M55" s="0" t="str">
        <f aca="false">IF(L55,COUNTIF($L$7:L55,TRUE()),"")</f>
        <v/>
      </c>
    </row>
    <row r="56" customFormat="false" ht="15" hidden="false" customHeight="false" outlineLevel="0" collapsed="false">
      <c r="A56" s="48" t="str">
        <f aca="false">IF(B56="","","F"&amp;TEXT(ROW()-6,"000"))</f>
        <v/>
      </c>
      <c r="B56" s="39"/>
      <c r="C56" s="39"/>
      <c r="D56" s="39"/>
      <c r="E56" s="39"/>
      <c r="F56" s="39"/>
      <c r="G56" s="39"/>
      <c r="H56" s="63" t="b">
        <f aca="false">FALSE()</f>
        <v>0</v>
      </c>
      <c r="I56" s="63" t="b">
        <f aca="false">FALSE()</f>
        <v>0</v>
      </c>
      <c r="J56" s="63" t="b">
        <f aca="false">FALSE()</f>
        <v>0</v>
      </c>
      <c r="K56" s="39"/>
      <c r="L56" s="61" t="b">
        <f aca="false">IF('🔍 Search'!$B$2="",B56&lt;&gt;"",ISNUMBER(SEARCH('🔍 Search'!$B$2,B56&amp;" "&amp;C56&amp;" "&amp;D56&amp;" "&amp;E56&amp;" "&amp;K56)))</f>
        <v>0</v>
      </c>
      <c r="M56" s="0" t="str">
        <f aca="false">IF(L56,COUNTIF($L$7:L56,TRUE()),"")</f>
        <v/>
      </c>
    </row>
    <row r="57" customFormat="false" ht="15" hidden="false" customHeight="false" outlineLevel="0" collapsed="false">
      <c r="A57" s="48" t="str">
        <f aca="false">IF(B57="","","F"&amp;TEXT(ROW()-6,"000"))</f>
        <v/>
      </c>
      <c r="B57" s="39"/>
      <c r="C57" s="39"/>
      <c r="D57" s="39"/>
      <c r="E57" s="39"/>
      <c r="F57" s="39"/>
      <c r="G57" s="39"/>
      <c r="H57" s="63" t="b">
        <f aca="false">FALSE()</f>
        <v>0</v>
      </c>
      <c r="I57" s="63" t="b">
        <f aca="false">FALSE()</f>
        <v>0</v>
      </c>
      <c r="J57" s="63" t="b">
        <f aca="false">FALSE()</f>
        <v>0</v>
      </c>
      <c r="K57" s="39"/>
      <c r="L57" s="61" t="b">
        <f aca="false">IF('🔍 Search'!$B$2="",B57&lt;&gt;"",ISNUMBER(SEARCH('🔍 Search'!$B$2,B57&amp;" "&amp;C57&amp;" "&amp;D57&amp;" "&amp;E57&amp;" "&amp;K57)))</f>
        <v>0</v>
      </c>
      <c r="M57" s="0" t="str">
        <f aca="false">IF(L57,COUNTIF($L$7:L57,TRUE()),"")</f>
        <v/>
      </c>
    </row>
    <row r="58" customFormat="false" ht="15" hidden="false" customHeight="false" outlineLevel="0" collapsed="false">
      <c r="A58" s="48" t="str">
        <f aca="false">IF(B58="","","F"&amp;TEXT(ROW()-6,"000"))</f>
        <v/>
      </c>
      <c r="B58" s="39"/>
      <c r="C58" s="39"/>
      <c r="D58" s="39"/>
      <c r="E58" s="39"/>
      <c r="F58" s="39"/>
      <c r="G58" s="39"/>
      <c r="H58" s="63" t="b">
        <f aca="false">FALSE()</f>
        <v>0</v>
      </c>
      <c r="I58" s="63" t="b">
        <f aca="false">FALSE()</f>
        <v>0</v>
      </c>
      <c r="J58" s="63" t="b">
        <f aca="false">FALSE()</f>
        <v>0</v>
      </c>
      <c r="K58" s="39"/>
      <c r="L58" s="61" t="b">
        <f aca="false">IF('🔍 Search'!$B$2="",B58&lt;&gt;"",ISNUMBER(SEARCH('🔍 Search'!$B$2,B58&amp;" "&amp;C58&amp;" "&amp;D58&amp;" "&amp;E58&amp;" "&amp;K58)))</f>
        <v>0</v>
      </c>
      <c r="M58" s="0" t="str">
        <f aca="false">IF(L58,COUNTIF($L$7:L58,TRUE()),"")</f>
        <v/>
      </c>
    </row>
    <row r="59" customFormat="false" ht="15" hidden="false" customHeight="false" outlineLevel="0" collapsed="false">
      <c r="A59" s="48" t="str">
        <f aca="false">IF(B59="","","F"&amp;TEXT(ROW()-6,"000"))</f>
        <v/>
      </c>
      <c r="B59" s="39"/>
      <c r="C59" s="39"/>
      <c r="D59" s="39"/>
      <c r="E59" s="39"/>
      <c r="F59" s="39"/>
      <c r="G59" s="39"/>
      <c r="H59" s="63" t="b">
        <f aca="false">FALSE()</f>
        <v>0</v>
      </c>
      <c r="I59" s="63" t="b">
        <f aca="false">FALSE()</f>
        <v>0</v>
      </c>
      <c r="J59" s="63" t="b">
        <f aca="false">FALSE()</f>
        <v>0</v>
      </c>
      <c r="K59" s="39"/>
      <c r="L59" s="61" t="b">
        <f aca="false">IF('🔍 Search'!$B$2="",B59&lt;&gt;"",ISNUMBER(SEARCH('🔍 Search'!$B$2,B59&amp;" "&amp;C59&amp;" "&amp;D59&amp;" "&amp;E59&amp;" "&amp;K59)))</f>
        <v>0</v>
      </c>
      <c r="M59" s="0" t="str">
        <f aca="false">IF(L59,COUNTIF($L$7:L59,TRUE()),"")</f>
        <v/>
      </c>
    </row>
    <row r="60" customFormat="false" ht="15" hidden="false" customHeight="false" outlineLevel="0" collapsed="false">
      <c r="A60" s="48" t="str">
        <f aca="false">IF(B60="","","F"&amp;TEXT(ROW()-6,"000"))</f>
        <v/>
      </c>
      <c r="B60" s="39"/>
      <c r="C60" s="39"/>
      <c r="D60" s="39"/>
      <c r="E60" s="39"/>
      <c r="F60" s="39"/>
      <c r="G60" s="39"/>
      <c r="H60" s="63" t="b">
        <f aca="false">FALSE()</f>
        <v>0</v>
      </c>
      <c r="I60" s="63" t="b">
        <f aca="false">FALSE()</f>
        <v>0</v>
      </c>
      <c r="J60" s="63" t="b">
        <f aca="false">FALSE()</f>
        <v>0</v>
      </c>
      <c r="K60" s="39"/>
      <c r="L60" s="61" t="b">
        <f aca="false">IF('🔍 Search'!$B$2="",B60&lt;&gt;"",ISNUMBER(SEARCH('🔍 Search'!$B$2,B60&amp;" "&amp;C60&amp;" "&amp;D60&amp;" "&amp;E60&amp;" "&amp;K60)))</f>
        <v>0</v>
      </c>
      <c r="M60" s="0" t="str">
        <f aca="false">IF(L60,COUNTIF($L$7:L60,TRUE()),"")</f>
        <v/>
      </c>
    </row>
    <row r="61" customFormat="false" ht="15" hidden="false" customHeight="false" outlineLevel="0" collapsed="false">
      <c r="A61" s="48" t="str">
        <f aca="false">IF(B61="","","F"&amp;TEXT(ROW()-6,"000"))</f>
        <v/>
      </c>
      <c r="B61" s="39"/>
      <c r="C61" s="39"/>
      <c r="D61" s="39"/>
      <c r="E61" s="39"/>
      <c r="F61" s="39"/>
      <c r="G61" s="39"/>
      <c r="H61" s="63" t="b">
        <f aca="false">FALSE()</f>
        <v>0</v>
      </c>
      <c r="I61" s="63" t="b">
        <f aca="false">FALSE()</f>
        <v>0</v>
      </c>
      <c r="J61" s="63" t="b">
        <f aca="false">FALSE()</f>
        <v>0</v>
      </c>
      <c r="K61" s="39"/>
      <c r="L61" s="61" t="b">
        <f aca="false">IF('🔍 Search'!$B$2="",B61&lt;&gt;"",ISNUMBER(SEARCH('🔍 Search'!$B$2,B61&amp;" "&amp;C61&amp;" "&amp;D61&amp;" "&amp;E61&amp;" "&amp;K61)))</f>
        <v>0</v>
      </c>
      <c r="M61" s="0" t="str">
        <f aca="false">IF(L61,COUNTIF($L$7:L61,TRUE()),"")</f>
        <v/>
      </c>
    </row>
    <row r="62" customFormat="false" ht="15" hidden="false" customHeight="false" outlineLevel="0" collapsed="false">
      <c r="A62" s="48" t="str">
        <f aca="false">IF(B62="","","F"&amp;TEXT(ROW()-6,"000"))</f>
        <v/>
      </c>
      <c r="B62" s="39"/>
      <c r="C62" s="39"/>
      <c r="D62" s="39"/>
      <c r="E62" s="39"/>
      <c r="F62" s="39"/>
      <c r="G62" s="39"/>
      <c r="H62" s="63" t="b">
        <f aca="false">FALSE()</f>
        <v>0</v>
      </c>
      <c r="I62" s="63" t="b">
        <f aca="false">FALSE()</f>
        <v>0</v>
      </c>
      <c r="J62" s="63" t="b">
        <f aca="false">FALSE()</f>
        <v>0</v>
      </c>
      <c r="K62" s="39"/>
      <c r="L62" s="61" t="b">
        <f aca="false">IF('🔍 Search'!$B$2="",B62&lt;&gt;"",ISNUMBER(SEARCH('🔍 Search'!$B$2,B62&amp;" "&amp;C62&amp;" "&amp;D62&amp;" "&amp;E62&amp;" "&amp;K62)))</f>
        <v>0</v>
      </c>
      <c r="M62" s="0" t="str">
        <f aca="false">IF(L62,COUNTIF($L$7:L62,TRUE()),"")</f>
        <v/>
      </c>
    </row>
    <row r="63" customFormat="false" ht="15" hidden="false" customHeight="false" outlineLevel="0" collapsed="false">
      <c r="A63" s="48" t="str">
        <f aca="false">IF(B63="","","F"&amp;TEXT(ROW()-6,"000"))</f>
        <v/>
      </c>
      <c r="B63" s="39"/>
      <c r="C63" s="39"/>
      <c r="D63" s="39"/>
      <c r="E63" s="39"/>
      <c r="F63" s="39"/>
      <c r="G63" s="39"/>
      <c r="H63" s="63" t="b">
        <f aca="false">FALSE()</f>
        <v>0</v>
      </c>
      <c r="I63" s="63" t="b">
        <f aca="false">FALSE()</f>
        <v>0</v>
      </c>
      <c r="J63" s="63" t="b">
        <f aca="false">FALSE()</f>
        <v>0</v>
      </c>
      <c r="K63" s="39"/>
      <c r="L63" s="61" t="b">
        <f aca="false">IF('🔍 Search'!$B$2="",B63&lt;&gt;"",ISNUMBER(SEARCH('🔍 Search'!$B$2,B63&amp;" "&amp;C63&amp;" "&amp;D63&amp;" "&amp;E63&amp;" "&amp;K63)))</f>
        <v>0</v>
      </c>
      <c r="M63" s="0" t="str">
        <f aca="false">IF(L63,COUNTIF($L$7:L63,TRUE()),"")</f>
        <v/>
      </c>
    </row>
    <row r="64" customFormat="false" ht="15" hidden="false" customHeight="false" outlineLevel="0" collapsed="false">
      <c r="A64" s="48" t="str">
        <f aca="false">IF(B64="","","F"&amp;TEXT(ROW()-6,"000"))</f>
        <v/>
      </c>
      <c r="B64" s="39"/>
      <c r="C64" s="39"/>
      <c r="D64" s="39"/>
      <c r="E64" s="39"/>
      <c r="F64" s="39"/>
      <c r="G64" s="39"/>
      <c r="H64" s="63" t="b">
        <f aca="false">FALSE()</f>
        <v>0</v>
      </c>
      <c r="I64" s="63" t="b">
        <f aca="false">FALSE()</f>
        <v>0</v>
      </c>
      <c r="J64" s="63" t="b">
        <f aca="false">FALSE()</f>
        <v>0</v>
      </c>
      <c r="K64" s="39"/>
      <c r="L64" s="61" t="b">
        <f aca="false">IF('🔍 Search'!$B$2="",B64&lt;&gt;"",ISNUMBER(SEARCH('🔍 Search'!$B$2,B64&amp;" "&amp;C64&amp;" "&amp;D64&amp;" "&amp;E64&amp;" "&amp;K64)))</f>
        <v>0</v>
      </c>
      <c r="M64" s="0" t="str">
        <f aca="false">IF(L64,COUNTIF($L$7:L64,TRUE()),"")</f>
        <v/>
      </c>
    </row>
    <row r="65" customFormat="false" ht="15" hidden="false" customHeight="false" outlineLevel="0" collapsed="false">
      <c r="A65" s="48" t="str">
        <f aca="false">IF(B65="","","F"&amp;TEXT(ROW()-6,"000"))</f>
        <v/>
      </c>
      <c r="B65" s="39"/>
      <c r="C65" s="39"/>
      <c r="D65" s="39"/>
      <c r="E65" s="39"/>
      <c r="F65" s="39"/>
      <c r="G65" s="39"/>
      <c r="H65" s="63" t="b">
        <f aca="false">FALSE()</f>
        <v>0</v>
      </c>
      <c r="I65" s="63" t="b">
        <f aca="false">FALSE()</f>
        <v>0</v>
      </c>
      <c r="J65" s="63" t="b">
        <f aca="false">FALSE()</f>
        <v>0</v>
      </c>
      <c r="K65" s="39"/>
      <c r="L65" s="61" t="b">
        <f aca="false">IF('🔍 Search'!$B$2="",B65&lt;&gt;"",ISNUMBER(SEARCH('🔍 Search'!$B$2,B65&amp;" "&amp;C65&amp;" "&amp;D65&amp;" "&amp;E65&amp;" "&amp;K65)))</f>
        <v>0</v>
      </c>
      <c r="M65" s="0" t="str">
        <f aca="false">IF(L65,COUNTIF($L$7:L65,TRUE()),"")</f>
        <v/>
      </c>
    </row>
    <row r="66" customFormat="false" ht="15" hidden="false" customHeight="false" outlineLevel="0" collapsed="false">
      <c r="A66" s="48" t="str">
        <f aca="false">IF(B66="","","F"&amp;TEXT(ROW()-6,"000"))</f>
        <v/>
      </c>
      <c r="B66" s="39"/>
      <c r="C66" s="39"/>
      <c r="D66" s="39"/>
      <c r="E66" s="39"/>
      <c r="F66" s="39"/>
      <c r="G66" s="39"/>
      <c r="H66" s="63" t="b">
        <f aca="false">FALSE()</f>
        <v>0</v>
      </c>
      <c r="I66" s="63" t="b">
        <f aca="false">FALSE()</f>
        <v>0</v>
      </c>
      <c r="J66" s="63" t="b">
        <f aca="false">FALSE()</f>
        <v>0</v>
      </c>
      <c r="K66" s="39"/>
      <c r="L66" s="61" t="b">
        <f aca="false">IF('🔍 Search'!$B$2="",B66&lt;&gt;"",ISNUMBER(SEARCH('🔍 Search'!$B$2,B66&amp;" "&amp;C66&amp;" "&amp;D66&amp;" "&amp;E66&amp;" "&amp;K66)))</f>
        <v>0</v>
      </c>
      <c r="M66" s="0" t="str">
        <f aca="false">IF(L66,COUNTIF($L$7:L66,TRUE()),"")</f>
        <v/>
      </c>
    </row>
    <row r="68" customFormat="false" ht="27.75" hidden="false" customHeight="true" outlineLevel="0" collapsed="false">
      <c r="A68" s="54" t="s">
        <v>241</v>
      </c>
      <c r="B68" s="54"/>
      <c r="C68" s="54"/>
      <c r="D68" s="54"/>
      <c r="E68" s="54"/>
      <c r="F68" s="54"/>
      <c r="G68" s="54"/>
      <c r="H68" s="54"/>
      <c r="I68" s="54"/>
      <c r="J68" s="54"/>
      <c r="K68" s="54"/>
    </row>
  </sheetData>
  <autoFilter ref="A6:K66"/>
  <mergeCells count="11">
    <mergeCell ref="A1:K1"/>
    <mergeCell ref="A3:K3"/>
    <mergeCell ref="A4:C4"/>
    <mergeCell ref="D4:F4"/>
    <mergeCell ref="G4:I4"/>
    <mergeCell ref="J4:L4"/>
    <mergeCell ref="A5:C5"/>
    <mergeCell ref="D5:F5"/>
    <mergeCell ref="G5:I5"/>
    <mergeCell ref="J5:L5"/>
    <mergeCell ref="A68:K68"/>
  </mergeCells>
  <conditionalFormatting sqref="A7:K66">
    <cfRule type="expression" priority="2" aboveAverage="0" equalAverage="0" bottom="0" percent="0" rank="0" text="" dxfId="9">
      <formula>AND($B7&lt;&gt;"",$G7="No")</formula>
    </cfRule>
    <cfRule type="expression" priority="3" aboveAverage="0" equalAverage="0" bottom="0" percent="0" rank="0" text="" dxfId="10">
      <formula>$G7="Yes"</formula>
    </cfRule>
  </conditionalFormatting>
  <dataValidations count="4">
    <dataValidation allowBlank="true" error="Please choose from the list." errorStyle="stop" errorTitle="Invalid entry" operator="between" showDropDown="false" showErrorMessage="false" showInputMessage="false" sqref="G7:G66" type="list">
      <formula1>List_YesNo</formula1>
      <formula2>0</formula2>
    </dataValidation>
    <dataValidation allowBlank="true" errorStyle="stop" operator="between" showDropDown="false" showErrorMessage="false" showInputMessage="false" sqref="H7:H66" type="list">
      <formula1>"TRUE,FALSE"</formula1>
      <formula2>0</formula2>
    </dataValidation>
    <dataValidation allowBlank="true" errorStyle="stop" operator="between" showDropDown="false" showErrorMessage="false" showInputMessage="false" sqref="I7:I66" type="list">
      <formula1>"TRUE,FALSE"</formula1>
      <formula2>0</formula2>
    </dataValidation>
    <dataValidation allowBlank="true" errorStyle="stop" operator="between" showDropDown="false" showErrorMessage="false" showInputMessage="false" sqref="J7:J66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A3771"/>
    <pageSetUpPr fitToPage="false"/>
  </sheetPr>
  <dimension ref="A1:M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5"/>
    <col collapsed="false" customWidth="true" hidden="false" outlineLevel="0" max="6" min="6" style="0" width="24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22"/>
    <col collapsed="false" customWidth="true" hidden="true" outlineLevel="0" max="13" min="12" style="0" width="13"/>
  </cols>
  <sheetData>
    <row r="1" customFormat="false" ht="27.75" hidden="false" customHeight="true" outlineLevel="0" collapsed="false">
      <c r="A1" s="31" t="s">
        <v>242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3" customFormat="false" ht="33.75" hidden="false" customHeight="true" outlineLevel="0" collapsed="false">
      <c r="A3" s="42" t="s">
        <v>243</v>
      </c>
      <c r="B3" s="42" t="s">
        <v>208</v>
      </c>
      <c r="C3" s="42" t="s">
        <v>244</v>
      </c>
      <c r="D3" s="42" t="s">
        <v>191</v>
      </c>
      <c r="E3" s="42" t="s">
        <v>245</v>
      </c>
      <c r="F3" s="42" t="s">
        <v>187</v>
      </c>
      <c r="G3" s="42" t="s">
        <v>246</v>
      </c>
      <c r="H3" s="42" t="s">
        <v>247</v>
      </c>
      <c r="I3" s="42" t="s">
        <v>248</v>
      </c>
      <c r="J3" s="42" t="s">
        <v>212</v>
      </c>
      <c r="K3" s="42" t="s">
        <v>192</v>
      </c>
    </row>
    <row r="4" customFormat="false" ht="15" hidden="false" customHeight="false" outlineLevel="0" collapsed="false">
      <c r="A4" s="43" t="s">
        <v>223</v>
      </c>
      <c r="B4" s="43" t="s">
        <v>78</v>
      </c>
      <c r="C4" s="43" t="s">
        <v>77</v>
      </c>
      <c r="D4" s="43" t="s">
        <v>249</v>
      </c>
      <c r="E4" s="43"/>
      <c r="F4" s="43" t="s">
        <v>250</v>
      </c>
      <c r="G4" s="55" t="n">
        <v>500000</v>
      </c>
      <c r="H4" s="55" t="n">
        <v>50000</v>
      </c>
      <c r="I4" s="64" t="n">
        <f aca="false">IF(A4="","",G4-H4)</f>
        <v>450000</v>
      </c>
      <c r="J4" s="48" t="str">
        <f aca="false">IF(A4="","",IF(I4&lt;=0,"✅ Fully Paid","Pending"))</f>
        <v>Pending</v>
      </c>
      <c r="K4" s="43" t="s">
        <v>251</v>
      </c>
      <c r="L4" s="61" t="b">
        <f aca="false">IF('🔍 Search'!$B$2="",A4&lt;&gt;"",ISNUMBER(SEARCH('🔍 Search'!$B$2,A4&amp;" "&amp;B4&amp;" "&amp;C4&amp;" "&amp;D4&amp;" "&amp;K4)))</f>
        <v>1</v>
      </c>
      <c r="M4" s="62" t="n">
        <f aca="false">IF(L4,COUNTIF($L$4:L4,TRUE()),"")</f>
        <v>1</v>
      </c>
    </row>
    <row r="5" customFormat="false" ht="15" hidden="false" customHeight="false" outlineLevel="0" collapsed="false">
      <c r="A5" s="39"/>
      <c r="B5" s="39"/>
      <c r="C5" s="39"/>
      <c r="D5" s="39"/>
      <c r="E5" s="39"/>
      <c r="F5" s="39"/>
      <c r="G5" s="56"/>
      <c r="H5" s="56"/>
      <c r="I5" s="64" t="str">
        <f aca="false">IF(A5="","",G5-H5)</f>
        <v/>
      </c>
      <c r="J5" s="48" t="str">
        <f aca="false">IF(A5="","",IF(I5&lt;=0,"✅ Fully Paid","Pending"))</f>
        <v/>
      </c>
      <c r="K5" s="39"/>
      <c r="L5" s="61" t="b">
        <f aca="false">IF('🔍 Search'!$B$2="",A5&lt;&gt;"",ISNUMBER(SEARCH('🔍 Search'!$B$2,A5&amp;" "&amp;B5&amp;" "&amp;C5&amp;" "&amp;D5&amp;" "&amp;K5)))</f>
        <v>0</v>
      </c>
      <c r="M5" s="0" t="str">
        <f aca="false">IF(L5,COUNTIF($L$4:L5,TRUE()),"")</f>
        <v/>
      </c>
    </row>
    <row r="6" customFormat="false" ht="15" hidden="false" customHeight="false" outlineLevel="0" collapsed="false">
      <c r="A6" s="39"/>
      <c r="B6" s="39"/>
      <c r="C6" s="39"/>
      <c r="D6" s="39"/>
      <c r="E6" s="39"/>
      <c r="F6" s="39"/>
      <c r="G6" s="56"/>
      <c r="H6" s="56"/>
      <c r="I6" s="64" t="str">
        <f aca="false">IF(A6="","",G6-H6)</f>
        <v/>
      </c>
      <c r="J6" s="48" t="str">
        <f aca="false">IF(A6="","",IF(I6&lt;=0,"✅ Fully Paid","Pending"))</f>
        <v/>
      </c>
      <c r="K6" s="39"/>
      <c r="L6" s="61" t="b">
        <f aca="false">IF('🔍 Search'!$B$2="",A6&lt;&gt;"",ISNUMBER(SEARCH('🔍 Search'!$B$2,A6&amp;" "&amp;B6&amp;" "&amp;C6&amp;" "&amp;D6&amp;" "&amp;K6)))</f>
        <v>0</v>
      </c>
      <c r="M6" s="0" t="str">
        <f aca="false">IF(L6,COUNTIF($L$4:L6,TRUE()),"")</f>
        <v/>
      </c>
    </row>
    <row r="7" customFormat="false" ht="15" hidden="false" customHeight="false" outlineLevel="0" collapsed="false">
      <c r="A7" s="39"/>
      <c r="B7" s="39"/>
      <c r="C7" s="39"/>
      <c r="D7" s="39"/>
      <c r="E7" s="39"/>
      <c r="F7" s="39"/>
      <c r="G7" s="56"/>
      <c r="H7" s="56"/>
      <c r="I7" s="64" t="str">
        <f aca="false">IF(A7="","",G7-H7)</f>
        <v/>
      </c>
      <c r="J7" s="48" t="str">
        <f aca="false">IF(A7="","",IF(I7&lt;=0,"✅ Fully Paid","Pending"))</f>
        <v/>
      </c>
      <c r="K7" s="39"/>
      <c r="L7" s="61" t="b">
        <f aca="false">IF('🔍 Search'!$B$2="",A7&lt;&gt;"",ISNUMBER(SEARCH('🔍 Search'!$B$2,A7&amp;" "&amp;B7&amp;" "&amp;C7&amp;" "&amp;D7&amp;" "&amp;K7)))</f>
        <v>0</v>
      </c>
      <c r="M7" s="0" t="str">
        <f aca="false">IF(L7,COUNTIF($L$4:L7,TRUE()),"")</f>
        <v/>
      </c>
    </row>
    <row r="8" customFormat="false" ht="15" hidden="false" customHeight="false" outlineLevel="0" collapsed="false">
      <c r="A8" s="39"/>
      <c r="B8" s="39"/>
      <c r="C8" s="39"/>
      <c r="D8" s="39"/>
      <c r="E8" s="39"/>
      <c r="F8" s="39"/>
      <c r="G8" s="56"/>
      <c r="H8" s="56"/>
      <c r="I8" s="64" t="str">
        <f aca="false">IF(A8="","",G8-H8)</f>
        <v/>
      </c>
      <c r="J8" s="48" t="str">
        <f aca="false">IF(A8="","",IF(I8&lt;=0,"✅ Fully Paid","Pending"))</f>
        <v/>
      </c>
      <c r="K8" s="39"/>
      <c r="L8" s="61" t="b">
        <f aca="false">IF('🔍 Search'!$B$2="",A8&lt;&gt;"",ISNUMBER(SEARCH('🔍 Search'!$B$2,A8&amp;" "&amp;B8&amp;" "&amp;C8&amp;" "&amp;D8&amp;" "&amp;K8)))</f>
        <v>0</v>
      </c>
      <c r="M8" s="0" t="str">
        <f aca="false">IF(L8,COUNTIF($L$4:L8,TRUE()),"")</f>
        <v/>
      </c>
    </row>
    <row r="9" customFormat="false" ht="15" hidden="false" customHeight="false" outlineLevel="0" collapsed="false">
      <c r="A9" s="39"/>
      <c r="B9" s="39"/>
      <c r="C9" s="39"/>
      <c r="D9" s="39"/>
      <c r="E9" s="39"/>
      <c r="F9" s="39"/>
      <c r="G9" s="56"/>
      <c r="H9" s="56"/>
      <c r="I9" s="64" t="str">
        <f aca="false">IF(A9="","",G9-H9)</f>
        <v/>
      </c>
      <c r="J9" s="48" t="str">
        <f aca="false">IF(A9="","",IF(I9&lt;=0,"✅ Fully Paid","Pending"))</f>
        <v/>
      </c>
      <c r="K9" s="39"/>
      <c r="L9" s="61" t="b">
        <f aca="false">IF('🔍 Search'!$B$2="",A9&lt;&gt;"",ISNUMBER(SEARCH('🔍 Search'!$B$2,A9&amp;" "&amp;B9&amp;" "&amp;C9&amp;" "&amp;D9&amp;" "&amp;K9)))</f>
        <v>0</v>
      </c>
      <c r="M9" s="0" t="str">
        <f aca="false">IF(L9,COUNTIF($L$4:L9,TRUE()),"")</f>
        <v/>
      </c>
    </row>
    <row r="10" customFormat="false" ht="15" hidden="false" customHeight="false" outlineLevel="0" collapsed="false">
      <c r="A10" s="39"/>
      <c r="B10" s="39"/>
      <c r="C10" s="39"/>
      <c r="D10" s="39"/>
      <c r="E10" s="39"/>
      <c r="F10" s="39"/>
      <c r="G10" s="56"/>
      <c r="H10" s="56"/>
      <c r="I10" s="64" t="str">
        <f aca="false">IF(A10="","",G10-H10)</f>
        <v/>
      </c>
      <c r="J10" s="48" t="str">
        <f aca="false">IF(A10="","",IF(I10&lt;=0,"✅ Fully Paid","Pending"))</f>
        <v/>
      </c>
      <c r="K10" s="39"/>
      <c r="L10" s="61" t="b">
        <f aca="false">IF('🔍 Search'!$B$2="",A10&lt;&gt;"",ISNUMBER(SEARCH('🔍 Search'!$B$2,A10&amp;" "&amp;B10&amp;" "&amp;C10&amp;" "&amp;D10&amp;" "&amp;K10)))</f>
        <v>0</v>
      </c>
      <c r="M10" s="0" t="str">
        <f aca="false">IF(L10,COUNTIF($L$4:L10,TRUE()),"")</f>
        <v/>
      </c>
    </row>
    <row r="11" customFormat="false" ht="15" hidden="false" customHeight="false" outlineLevel="0" collapsed="false">
      <c r="A11" s="39"/>
      <c r="B11" s="39"/>
      <c r="C11" s="39"/>
      <c r="D11" s="39"/>
      <c r="E11" s="39"/>
      <c r="F11" s="39"/>
      <c r="G11" s="56"/>
      <c r="H11" s="56"/>
      <c r="I11" s="64" t="str">
        <f aca="false">IF(A11="","",G11-H11)</f>
        <v/>
      </c>
      <c r="J11" s="48" t="str">
        <f aca="false">IF(A11="","",IF(I11&lt;=0,"✅ Fully Paid","Pending"))</f>
        <v/>
      </c>
      <c r="K11" s="39"/>
      <c r="L11" s="61" t="b">
        <f aca="false">IF('🔍 Search'!$B$2="",A11&lt;&gt;"",ISNUMBER(SEARCH('🔍 Search'!$B$2,A11&amp;" "&amp;B11&amp;" "&amp;C11&amp;" "&amp;D11&amp;" "&amp;K11)))</f>
        <v>0</v>
      </c>
      <c r="M11" s="0" t="str">
        <f aca="false">IF(L11,COUNTIF($L$4:L11,TRUE()),"")</f>
        <v/>
      </c>
    </row>
    <row r="12" customFormat="false" ht="15" hidden="false" customHeight="false" outlineLevel="0" collapsed="false">
      <c r="A12" s="39"/>
      <c r="B12" s="39"/>
      <c r="C12" s="39"/>
      <c r="D12" s="39"/>
      <c r="E12" s="39"/>
      <c r="F12" s="39"/>
      <c r="G12" s="56"/>
      <c r="H12" s="56"/>
      <c r="I12" s="64" t="str">
        <f aca="false">IF(A12="","",G12-H12)</f>
        <v/>
      </c>
      <c r="J12" s="48" t="str">
        <f aca="false">IF(A12="","",IF(I12&lt;=0,"✅ Fully Paid","Pending"))</f>
        <v/>
      </c>
      <c r="K12" s="39"/>
      <c r="L12" s="61" t="b">
        <f aca="false">IF('🔍 Search'!$B$2="",A12&lt;&gt;"",ISNUMBER(SEARCH('🔍 Search'!$B$2,A12&amp;" "&amp;B12&amp;" "&amp;C12&amp;" "&amp;D12&amp;" "&amp;K12)))</f>
        <v>0</v>
      </c>
      <c r="M12" s="0" t="str">
        <f aca="false">IF(L12,COUNTIF($L$4:L12,TRUE()),"")</f>
        <v/>
      </c>
    </row>
    <row r="13" customFormat="false" ht="15" hidden="false" customHeight="false" outlineLevel="0" collapsed="false">
      <c r="A13" s="39"/>
      <c r="B13" s="39"/>
      <c r="C13" s="39"/>
      <c r="D13" s="39"/>
      <c r="E13" s="39"/>
      <c r="F13" s="39"/>
      <c r="G13" s="56"/>
      <c r="H13" s="56"/>
      <c r="I13" s="64" t="str">
        <f aca="false">IF(A13="","",G13-H13)</f>
        <v/>
      </c>
      <c r="J13" s="48" t="str">
        <f aca="false">IF(A13="","",IF(I13&lt;=0,"✅ Fully Paid","Pending"))</f>
        <v/>
      </c>
      <c r="K13" s="39"/>
      <c r="L13" s="61" t="b">
        <f aca="false">IF('🔍 Search'!$B$2="",A13&lt;&gt;"",ISNUMBER(SEARCH('🔍 Search'!$B$2,A13&amp;" "&amp;B13&amp;" "&amp;C13&amp;" "&amp;D13&amp;" "&amp;K13)))</f>
        <v>0</v>
      </c>
      <c r="M13" s="0" t="str">
        <f aca="false">IF(L13,COUNTIF($L$4:L13,TRUE()),"")</f>
        <v/>
      </c>
    </row>
    <row r="14" customFormat="false" ht="15" hidden="false" customHeight="false" outlineLevel="0" collapsed="false">
      <c r="A14" s="39"/>
      <c r="B14" s="39"/>
      <c r="C14" s="39"/>
      <c r="D14" s="39"/>
      <c r="E14" s="39"/>
      <c r="F14" s="39"/>
      <c r="G14" s="56"/>
      <c r="H14" s="56"/>
      <c r="I14" s="64" t="str">
        <f aca="false">IF(A14="","",G14-H14)</f>
        <v/>
      </c>
      <c r="J14" s="48" t="str">
        <f aca="false">IF(A14="","",IF(I14&lt;=0,"✅ Fully Paid","Pending"))</f>
        <v/>
      </c>
      <c r="K14" s="39"/>
      <c r="L14" s="61" t="b">
        <f aca="false">IF('🔍 Search'!$B$2="",A14&lt;&gt;"",ISNUMBER(SEARCH('🔍 Search'!$B$2,A14&amp;" "&amp;B14&amp;" "&amp;C14&amp;" "&amp;D14&amp;" "&amp;K14)))</f>
        <v>0</v>
      </c>
      <c r="M14" s="0" t="str">
        <f aca="false">IF(L14,COUNTIF($L$4:L14,TRUE()),"")</f>
        <v/>
      </c>
    </row>
    <row r="15" customFormat="false" ht="15" hidden="false" customHeight="false" outlineLevel="0" collapsed="false">
      <c r="A15" s="39"/>
      <c r="B15" s="39"/>
      <c r="C15" s="39"/>
      <c r="D15" s="39"/>
      <c r="E15" s="39"/>
      <c r="F15" s="39"/>
      <c r="G15" s="56"/>
      <c r="H15" s="56"/>
      <c r="I15" s="64" t="str">
        <f aca="false">IF(A15="","",G15-H15)</f>
        <v/>
      </c>
      <c r="J15" s="48" t="str">
        <f aca="false">IF(A15="","",IF(I15&lt;=0,"✅ Fully Paid","Pending"))</f>
        <v/>
      </c>
      <c r="K15" s="39"/>
      <c r="L15" s="61" t="b">
        <f aca="false">IF('🔍 Search'!$B$2="",A15&lt;&gt;"",ISNUMBER(SEARCH('🔍 Search'!$B$2,A15&amp;" "&amp;B15&amp;" "&amp;C15&amp;" "&amp;D15&amp;" "&amp;K15)))</f>
        <v>0</v>
      </c>
      <c r="M15" s="0" t="str">
        <f aca="false">IF(L15,COUNTIF($L$4:L15,TRUE()),"")</f>
        <v/>
      </c>
    </row>
    <row r="16" customFormat="false" ht="15" hidden="false" customHeight="false" outlineLevel="0" collapsed="false">
      <c r="A16" s="39"/>
      <c r="B16" s="39"/>
      <c r="C16" s="39"/>
      <c r="D16" s="39"/>
      <c r="E16" s="39"/>
      <c r="F16" s="39"/>
      <c r="G16" s="56"/>
      <c r="H16" s="56"/>
      <c r="I16" s="64" t="str">
        <f aca="false">IF(A16="","",G16-H16)</f>
        <v/>
      </c>
      <c r="J16" s="48" t="str">
        <f aca="false">IF(A16="","",IF(I16&lt;=0,"✅ Fully Paid","Pending"))</f>
        <v/>
      </c>
      <c r="K16" s="39"/>
      <c r="L16" s="61" t="b">
        <f aca="false">IF('🔍 Search'!$B$2="",A16&lt;&gt;"",ISNUMBER(SEARCH('🔍 Search'!$B$2,A16&amp;" "&amp;B16&amp;" "&amp;C16&amp;" "&amp;D16&amp;" "&amp;K16)))</f>
        <v>0</v>
      </c>
      <c r="M16" s="0" t="str">
        <f aca="false">IF(L16,COUNTIF($L$4:L16,TRUE()),"")</f>
        <v/>
      </c>
    </row>
    <row r="17" customFormat="false" ht="15" hidden="false" customHeight="false" outlineLevel="0" collapsed="false">
      <c r="A17" s="39"/>
      <c r="B17" s="39"/>
      <c r="C17" s="39"/>
      <c r="D17" s="39"/>
      <c r="E17" s="39"/>
      <c r="F17" s="39"/>
      <c r="G17" s="56"/>
      <c r="H17" s="56"/>
      <c r="I17" s="64" t="str">
        <f aca="false">IF(A17="","",G17-H17)</f>
        <v/>
      </c>
      <c r="J17" s="48" t="str">
        <f aca="false">IF(A17="","",IF(I17&lt;=0,"✅ Fully Paid","Pending"))</f>
        <v/>
      </c>
      <c r="K17" s="39"/>
      <c r="L17" s="61" t="b">
        <f aca="false">IF('🔍 Search'!$B$2="",A17&lt;&gt;"",ISNUMBER(SEARCH('🔍 Search'!$B$2,A17&amp;" "&amp;B17&amp;" "&amp;C17&amp;" "&amp;D17&amp;" "&amp;K17)))</f>
        <v>0</v>
      </c>
      <c r="M17" s="0" t="str">
        <f aca="false">IF(L17,COUNTIF($L$4:L17,TRUE()),"")</f>
        <v/>
      </c>
    </row>
    <row r="18" customFormat="false" ht="15" hidden="false" customHeight="false" outlineLevel="0" collapsed="false">
      <c r="A18" s="39"/>
      <c r="B18" s="39"/>
      <c r="C18" s="39"/>
      <c r="D18" s="39"/>
      <c r="E18" s="39"/>
      <c r="F18" s="39"/>
      <c r="G18" s="56"/>
      <c r="H18" s="56"/>
      <c r="I18" s="64" t="str">
        <f aca="false">IF(A18="","",G18-H18)</f>
        <v/>
      </c>
      <c r="J18" s="48" t="str">
        <f aca="false">IF(A18="","",IF(I18&lt;=0,"✅ Fully Paid","Pending"))</f>
        <v/>
      </c>
      <c r="K18" s="39"/>
      <c r="L18" s="61" t="b">
        <f aca="false">IF('🔍 Search'!$B$2="",A18&lt;&gt;"",ISNUMBER(SEARCH('🔍 Search'!$B$2,A18&amp;" "&amp;B18&amp;" "&amp;C18&amp;" "&amp;D18&amp;" "&amp;K18)))</f>
        <v>0</v>
      </c>
      <c r="M18" s="0" t="str">
        <f aca="false">IF(L18,COUNTIF($L$4:L18,TRUE()),"")</f>
        <v/>
      </c>
    </row>
    <row r="19" customFormat="false" ht="15" hidden="false" customHeight="false" outlineLevel="0" collapsed="false">
      <c r="A19" s="39"/>
      <c r="B19" s="39"/>
      <c r="C19" s="39"/>
      <c r="D19" s="39"/>
      <c r="E19" s="39"/>
      <c r="F19" s="39"/>
      <c r="G19" s="56"/>
      <c r="H19" s="56"/>
      <c r="I19" s="64" t="str">
        <f aca="false">IF(A19="","",G19-H19)</f>
        <v/>
      </c>
      <c r="J19" s="48" t="str">
        <f aca="false">IF(A19="","",IF(I19&lt;=0,"✅ Fully Paid","Pending"))</f>
        <v/>
      </c>
      <c r="K19" s="39"/>
      <c r="L19" s="61" t="b">
        <f aca="false">IF('🔍 Search'!$B$2="",A19&lt;&gt;"",ISNUMBER(SEARCH('🔍 Search'!$B$2,A19&amp;" "&amp;B19&amp;" "&amp;C19&amp;" "&amp;D19&amp;" "&amp;K19)))</f>
        <v>0</v>
      </c>
      <c r="M19" s="0" t="str">
        <f aca="false">IF(L19,COUNTIF($L$4:L19,TRUE()),"")</f>
        <v/>
      </c>
    </row>
    <row r="20" customFormat="false" ht="15" hidden="false" customHeight="false" outlineLevel="0" collapsed="false">
      <c r="A20" s="39"/>
      <c r="B20" s="39"/>
      <c r="C20" s="39"/>
      <c r="D20" s="39"/>
      <c r="E20" s="39"/>
      <c r="F20" s="39"/>
      <c r="G20" s="56"/>
      <c r="H20" s="56"/>
      <c r="I20" s="64" t="str">
        <f aca="false">IF(A20="","",G20-H20)</f>
        <v/>
      </c>
      <c r="J20" s="48" t="str">
        <f aca="false">IF(A20="","",IF(I20&lt;=0,"✅ Fully Paid","Pending"))</f>
        <v/>
      </c>
      <c r="K20" s="39"/>
      <c r="L20" s="61" t="b">
        <f aca="false">IF('🔍 Search'!$B$2="",A20&lt;&gt;"",ISNUMBER(SEARCH('🔍 Search'!$B$2,A20&amp;" "&amp;B20&amp;" "&amp;C20&amp;" "&amp;D20&amp;" "&amp;K20)))</f>
        <v>0</v>
      </c>
      <c r="M20" s="0" t="str">
        <f aca="false">IF(L20,COUNTIF($L$4:L20,TRUE()),"")</f>
        <v/>
      </c>
    </row>
    <row r="21" customFormat="false" ht="15" hidden="false" customHeight="false" outlineLevel="0" collapsed="false">
      <c r="A21" s="39"/>
      <c r="B21" s="39"/>
      <c r="C21" s="39"/>
      <c r="D21" s="39"/>
      <c r="E21" s="39"/>
      <c r="F21" s="39"/>
      <c r="G21" s="56"/>
      <c r="H21" s="56"/>
      <c r="I21" s="64" t="str">
        <f aca="false">IF(A21="","",G21-H21)</f>
        <v/>
      </c>
      <c r="J21" s="48" t="str">
        <f aca="false">IF(A21="","",IF(I21&lt;=0,"✅ Fully Paid","Pending"))</f>
        <v/>
      </c>
      <c r="K21" s="39"/>
      <c r="L21" s="61" t="b">
        <f aca="false">IF('🔍 Search'!$B$2="",A21&lt;&gt;"",ISNUMBER(SEARCH('🔍 Search'!$B$2,A21&amp;" "&amp;B21&amp;" "&amp;C21&amp;" "&amp;D21&amp;" "&amp;K21)))</f>
        <v>0</v>
      </c>
      <c r="M21" s="0" t="str">
        <f aca="false">IF(L21,COUNTIF($L$4:L21,TRUE()),"")</f>
        <v/>
      </c>
    </row>
    <row r="22" customFormat="false" ht="15" hidden="false" customHeight="false" outlineLevel="0" collapsed="false">
      <c r="A22" s="39"/>
      <c r="B22" s="39"/>
      <c r="C22" s="39"/>
      <c r="D22" s="39"/>
      <c r="E22" s="39"/>
      <c r="F22" s="39"/>
      <c r="G22" s="56"/>
      <c r="H22" s="56"/>
      <c r="I22" s="64" t="str">
        <f aca="false">IF(A22="","",G22-H22)</f>
        <v/>
      </c>
      <c r="J22" s="48" t="str">
        <f aca="false">IF(A22="","",IF(I22&lt;=0,"✅ Fully Paid","Pending"))</f>
        <v/>
      </c>
      <c r="K22" s="39"/>
      <c r="L22" s="61" t="b">
        <f aca="false">IF('🔍 Search'!$B$2="",A22&lt;&gt;"",ISNUMBER(SEARCH('🔍 Search'!$B$2,A22&amp;" "&amp;B22&amp;" "&amp;C22&amp;" "&amp;D22&amp;" "&amp;K22)))</f>
        <v>0</v>
      </c>
      <c r="M22" s="0" t="str">
        <f aca="false">IF(L22,COUNTIF($L$4:L22,TRUE()),"")</f>
        <v/>
      </c>
    </row>
    <row r="23" customFormat="false" ht="15" hidden="false" customHeight="false" outlineLevel="0" collapsed="false">
      <c r="A23" s="39"/>
      <c r="B23" s="39"/>
      <c r="C23" s="39"/>
      <c r="D23" s="39"/>
      <c r="E23" s="39"/>
      <c r="F23" s="39"/>
      <c r="G23" s="56"/>
      <c r="H23" s="56"/>
      <c r="I23" s="64" t="str">
        <f aca="false">IF(A23="","",G23-H23)</f>
        <v/>
      </c>
      <c r="J23" s="48" t="str">
        <f aca="false">IF(A23="","",IF(I23&lt;=0,"✅ Fully Paid","Pending"))</f>
        <v/>
      </c>
      <c r="K23" s="39"/>
      <c r="L23" s="61" t="b">
        <f aca="false">IF('🔍 Search'!$B$2="",A23&lt;&gt;"",ISNUMBER(SEARCH('🔍 Search'!$B$2,A23&amp;" "&amp;B23&amp;" "&amp;C23&amp;" "&amp;D23&amp;" "&amp;K23)))</f>
        <v>0</v>
      </c>
      <c r="M23" s="0" t="str">
        <f aca="false">IF(L23,COUNTIF($L$4:L23,TRUE()),"")</f>
        <v/>
      </c>
    </row>
    <row r="24" customFormat="false" ht="15" hidden="false" customHeight="false" outlineLevel="0" collapsed="false">
      <c r="A24" s="39"/>
      <c r="B24" s="39"/>
      <c r="C24" s="39"/>
      <c r="D24" s="39"/>
      <c r="E24" s="39"/>
      <c r="F24" s="39"/>
      <c r="G24" s="56"/>
      <c r="H24" s="56"/>
      <c r="I24" s="64" t="str">
        <f aca="false">IF(A24="","",G24-H24)</f>
        <v/>
      </c>
      <c r="J24" s="48" t="str">
        <f aca="false">IF(A24="","",IF(I24&lt;=0,"✅ Fully Paid","Pending"))</f>
        <v/>
      </c>
      <c r="K24" s="39"/>
      <c r="L24" s="61" t="b">
        <f aca="false">IF('🔍 Search'!$B$2="",A24&lt;&gt;"",ISNUMBER(SEARCH('🔍 Search'!$B$2,A24&amp;" "&amp;B24&amp;" "&amp;C24&amp;" "&amp;D24&amp;" "&amp;K24)))</f>
        <v>0</v>
      </c>
      <c r="M24" s="0" t="str">
        <f aca="false">IF(L24,COUNTIF($L$4:L24,TRUE()),"")</f>
        <v/>
      </c>
    </row>
    <row r="25" customFormat="false" ht="15" hidden="false" customHeight="false" outlineLevel="0" collapsed="false">
      <c r="A25" s="39"/>
      <c r="B25" s="39"/>
      <c r="C25" s="39"/>
      <c r="D25" s="39"/>
      <c r="E25" s="39"/>
      <c r="F25" s="39"/>
      <c r="G25" s="56"/>
      <c r="H25" s="56"/>
      <c r="I25" s="64" t="str">
        <f aca="false">IF(A25="","",G25-H25)</f>
        <v/>
      </c>
      <c r="J25" s="48" t="str">
        <f aca="false">IF(A25="","",IF(I25&lt;=0,"✅ Fully Paid","Pending"))</f>
        <v/>
      </c>
      <c r="K25" s="39"/>
      <c r="L25" s="61" t="b">
        <f aca="false">IF('🔍 Search'!$B$2="",A25&lt;&gt;"",ISNUMBER(SEARCH('🔍 Search'!$B$2,A25&amp;" "&amp;B25&amp;" "&amp;C25&amp;" "&amp;D25&amp;" "&amp;K25)))</f>
        <v>0</v>
      </c>
      <c r="M25" s="0" t="str">
        <f aca="false">IF(L25,COUNTIF($L$4:L25,TRUE()),"")</f>
        <v/>
      </c>
    </row>
    <row r="26" customFormat="false" ht="15" hidden="false" customHeight="false" outlineLevel="0" collapsed="false">
      <c r="A26" s="39"/>
      <c r="B26" s="39"/>
      <c r="C26" s="39"/>
      <c r="D26" s="39"/>
      <c r="E26" s="39"/>
      <c r="F26" s="39"/>
      <c r="G26" s="56"/>
      <c r="H26" s="56"/>
      <c r="I26" s="64" t="str">
        <f aca="false">IF(A26="","",G26-H26)</f>
        <v/>
      </c>
      <c r="J26" s="48" t="str">
        <f aca="false">IF(A26="","",IF(I26&lt;=0,"✅ Fully Paid","Pending"))</f>
        <v/>
      </c>
      <c r="K26" s="39"/>
      <c r="L26" s="61" t="b">
        <f aca="false">IF('🔍 Search'!$B$2="",A26&lt;&gt;"",ISNUMBER(SEARCH('🔍 Search'!$B$2,A26&amp;" "&amp;B26&amp;" "&amp;C26&amp;" "&amp;D26&amp;" "&amp;K26)))</f>
        <v>0</v>
      </c>
      <c r="M26" s="0" t="str">
        <f aca="false">IF(L26,COUNTIF($L$4:L26,TRUE()),"")</f>
        <v/>
      </c>
    </row>
    <row r="27" customFormat="false" ht="15" hidden="false" customHeight="false" outlineLevel="0" collapsed="false">
      <c r="A27" s="39"/>
      <c r="B27" s="39"/>
      <c r="C27" s="39"/>
      <c r="D27" s="39"/>
      <c r="E27" s="39"/>
      <c r="F27" s="39"/>
      <c r="G27" s="56"/>
      <c r="H27" s="56"/>
      <c r="I27" s="64" t="str">
        <f aca="false">IF(A27="","",G27-H27)</f>
        <v/>
      </c>
      <c r="J27" s="48" t="str">
        <f aca="false">IF(A27="","",IF(I27&lt;=0,"✅ Fully Paid","Pending"))</f>
        <v/>
      </c>
      <c r="K27" s="39"/>
      <c r="L27" s="61" t="b">
        <f aca="false">IF('🔍 Search'!$B$2="",A27&lt;&gt;"",ISNUMBER(SEARCH('🔍 Search'!$B$2,A27&amp;" "&amp;B27&amp;" "&amp;C27&amp;" "&amp;D27&amp;" "&amp;K27)))</f>
        <v>0</v>
      </c>
      <c r="M27" s="0" t="str">
        <f aca="false">IF(L27,COUNTIF($L$4:L27,TRUE()),"")</f>
        <v/>
      </c>
    </row>
    <row r="28" customFormat="false" ht="15" hidden="false" customHeight="false" outlineLevel="0" collapsed="false">
      <c r="A28" s="39"/>
      <c r="B28" s="39"/>
      <c r="C28" s="39"/>
      <c r="D28" s="39"/>
      <c r="E28" s="39"/>
      <c r="F28" s="39"/>
      <c r="G28" s="56"/>
      <c r="H28" s="56"/>
      <c r="I28" s="64" t="str">
        <f aca="false">IF(A28="","",G28-H28)</f>
        <v/>
      </c>
      <c r="J28" s="48" t="str">
        <f aca="false">IF(A28="","",IF(I28&lt;=0,"✅ Fully Paid","Pending"))</f>
        <v/>
      </c>
      <c r="K28" s="39"/>
      <c r="L28" s="61" t="b">
        <f aca="false">IF('🔍 Search'!$B$2="",A28&lt;&gt;"",ISNUMBER(SEARCH('🔍 Search'!$B$2,A28&amp;" "&amp;B28&amp;" "&amp;C28&amp;" "&amp;D28&amp;" "&amp;K28)))</f>
        <v>0</v>
      </c>
      <c r="M28" s="0" t="str">
        <f aca="false">IF(L28,COUNTIF($L$4:L28,TRUE()),"")</f>
        <v/>
      </c>
    </row>
    <row r="29" customFormat="false" ht="15" hidden="false" customHeight="false" outlineLevel="0" collapsed="false">
      <c r="A29" s="39"/>
      <c r="B29" s="39"/>
      <c r="C29" s="39"/>
      <c r="D29" s="39"/>
      <c r="E29" s="39"/>
      <c r="F29" s="39"/>
      <c r="G29" s="56"/>
      <c r="H29" s="56"/>
      <c r="I29" s="64" t="str">
        <f aca="false">IF(A29="","",G29-H29)</f>
        <v/>
      </c>
      <c r="J29" s="48" t="str">
        <f aca="false">IF(A29="","",IF(I29&lt;=0,"✅ Fully Paid","Pending"))</f>
        <v/>
      </c>
      <c r="K29" s="39"/>
      <c r="L29" s="61" t="b">
        <f aca="false">IF('🔍 Search'!$B$2="",A29&lt;&gt;"",ISNUMBER(SEARCH('🔍 Search'!$B$2,A29&amp;" "&amp;B29&amp;" "&amp;C29&amp;" "&amp;D29&amp;" "&amp;K29)))</f>
        <v>0</v>
      </c>
      <c r="M29" s="0" t="str">
        <f aca="false">IF(L29,COUNTIF($L$4:L29,TRUE()),"")</f>
        <v/>
      </c>
    </row>
    <row r="30" customFormat="false" ht="15" hidden="false" customHeight="false" outlineLevel="0" collapsed="false">
      <c r="A30" s="39"/>
      <c r="B30" s="39"/>
      <c r="C30" s="39"/>
      <c r="D30" s="39"/>
      <c r="E30" s="39"/>
      <c r="F30" s="39"/>
      <c r="G30" s="56"/>
      <c r="H30" s="56"/>
      <c r="I30" s="64" t="str">
        <f aca="false">IF(A30="","",G30-H30)</f>
        <v/>
      </c>
      <c r="J30" s="48" t="str">
        <f aca="false">IF(A30="","",IF(I30&lt;=0,"✅ Fully Paid","Pending"))</f>
        <v/>
      </c>
      <c r="K30" s="39"/>
      <c r="L30" s="61" t="b">
        <f aca="false">IF('🔍 Search'!$B$2="",A30&lt;&gt;"",ISNUMBER(SEARCH('🔍 Search'!$B$2,A30&amp;" "&amp;B30&amp;" "&amp;C30&amp;" "&amp;D30&amp;" "&amp;K30)))</f>
        <v>0</v>
      </c>
      <c r="M30" s="0" t="str">
        <f aca="false">IF(L30,COUNTIF($L$4:L30,TRUE()),"")</f>
        <v/>
      </c>
    </row>
    <row r="31" customFormat="false" ht="15" hidden="false" customHeight="false" outlineLevel="0" collapsed="false">
      <c r="A31" s="39"/>
      <c r="B31" s="39"/>
      <c r="C31" s="39"/>
      <c r="D31" s="39"/>
      <c r="E31" s="39"/>
      <c r="F31" s="39"/>
      <c r="G31" s="56"/>
      <c r="H31" s="56"/>
      <c r="I31" s="64" t="str">
        <f aca="false">IF(A31="","",G31-H31)</f>
        <v/>
      </c>
      <c r="J31" s="48" t="str">
        <f aca="false">IF(A31="","",IF(I31&lt;=0,"✅ Fully Paid","Pending"))</f>
        <v/>
      </c>
      <c r="K31" s="39"/>
      <c r="L31" s="61" t="b">
        <f aca="false">IF('🔍 Search'!$B$2="",A31&lt;&gt;"",ISNUMBER(SEARCH('🔍 Search'!$B$2,A31&amp;" "&amp;B31&amp;" "&amp;C31&amp;" "&amp;D31&amp;" "&amp;K31)))</f>
        <v>0</v>
      </c>
      <c r="M31" s="0" t="str">
        <f aca="false">IF(L31,COUNTIF($L$4:L31,TRUE()),"")</f>
        <v/>
      </c>
    </row>
    <row r="32" customFormat="false" ht="15" hidden="false" customHeight="false" outlineLevel="0" collapsed="false">
      <c r="A32" s="39"/>
      <c r="B32" s="39"/>
      <c r="C32" s="39"/>
      <c r="D32" s="39"/>
      <c r="E32" s="39"/>
      <c r="F32" s="39"/>
      <c r="G32" s="56"/>
      <c r="H32" s="56"/>
      <c r="I32" s="64" t="str">
        <f aca="false">IF(A32="","",G32-H32)</f>
        <v/>
      </c>
      <c r="J32" s="48" t="str">
        <f aca="false">IF(A32="","",IF(I32&lt;=0,"✅ Fully Paid","Pending"))</f>
        <v/>
      </c>
      <c r="K32" s="39"/>
      <c r="L32" s="61" t="b">
        <f aca="false">IF('🔍 Search'!$B$2="",A32&lt;&gt;"",ISNUMBER(SEARCH('🔍 Search'!$B$2,A32&amp;" "&amp;B32&amp;" "&amp;C32&amp;" "&amp;D32&amp;" "&amp;K32)))</f>
        <v>0</v>
      </c>
      <c r="M32" s="0" t="str">
        <f aca="false">IF(L32,COUNTIF($L$4:L32,TRUE()),"")</f>
        <v/>
      </c>
    </row>
    <row r="33" customFormat="false" ht="15" hidden="false" customHeight="false" outlineLevel="0" collapsed="false">
      <c r="A33" s="39"/>
      <c r="B33" s="39"/>
      <c r="C33" s="39"/>
      <c r="D33" s="39"/>
      <c r="E33" s="39"/>
      <c r="F33" s="39"/>
      <c r="G33" s="56"/>
      <c r="H33" s="56"/>
      <c r="I33" s="64" t="str">
        <f aca="false">IF(A33="","",G33-H33)</f>
        <v/>
      </c>
      <c r="J33" s="48" t="str">
        <f aca="false">IF(A33="","",IF(I33&lt;=0,"✅ Fully Paid","Pending"))</f>
        <v/>
      </c>
      <c r="K33" s="39"/>
      <c r="L33" s="61" t="b">
        <f aca="false">IF('🔍 Search'!$B$2="",A33&lt;&gt;"",ISNUMBER(SEARCH('🔍 Search'!$B$2,A33&amp;" "&amp;B33&amp;" "&amp;C33&amp;" "&amp;D33&amp;" "&amp;K33)))</f>
        <v>0</v>
      </c>
      <c r="M33" s="0" t="str">
        <f aca="false">IF(L33,COUNTIF($L$4:L33,TRUE()),"")</f>
        <v/>
      </c>
    </row>
    <row r="34" customFormat="false" ht="15" hidden="false" customHeight="false" outlineLevel="0" collapsed="false">
      <c r="A34" s="39"/>
      <c r="B34" s="39"/>
      <c r="C34" s="39"/>
      <c r="D34" s="39"/>
      <c r="E34" s="39"/>
      <c r="F34" s="39"/>
      <c r="G34" s="56"/>
      <c r="H34" s="56"/>
      <c r="I34" s="64" t="str">
        <f aca="false">IF(A34="","",G34-H34)</f>
        <v/>
      </c>
      <c r="J34" s="48" t="str">
        <f aca="false">IF(A34="","",IF(I34&lt;=0,"✅ Fully Paid","Pending"))</f>
        <v/>
      </c>
      <c r="K34" s="39"/>
      <c r="L34" s="61" t="b">
        <f aca="false">IF('🔍 Search'!$B$2="",A34&lt;&gt;"",ISNUMBER(SEARCH('🔍 Search'!$B$2,A34&amp;" "&amp;B34&amp;" "&amp;C34&amp;" "&amp;D34&amp;" "&amp;K34)))</f>
        <v>0</v>
      </c>
      <c r="M34" s="0" t="str">
        <f aca="false">IF(L34,COUNTIF($L$4:L34,TRUE()),"")</f>
        <v/>
      </c>
    </row>
    <row r="35" customFormat="false" ht="15" hidden="false" customHeight="false" outlineLevel="0" collapsed="false">
      <c r="A35" s="39"/>
      <c r="B35" s="39"/>
      <c r="C35" s="39"/>
      <c r="D35" s="39"/>
      <c r="E35" s="39"/>
      <c r="F35" s="39"/>
      <c r="G35" s="56"/>
      <c r="H35" s="56"/>
      <c r="I35" s="64" t="str">
        <f aca="false">IF(A35="","",G35-H35)</f>
        <v/>
      </c>
      <c r="J35" s="48" t="str">
        <f aca="false">IF(A35="","",IF(I35&lt;=0,"✅ Fully Paid","Pending"))</f>
        <v/>
      </c>
      <c r="K35" s="39"/>
      <c r="L35" s="61" t="b">
        <f aca="false">IF('🔍 Search'!$B$2="",A35&lt;&gt;"",ISNUMBER(SEARCH('🔍 Search'!$B$2,A35&amp;" "&amp;B35&amp;" "&amp;C35&amp;" "&amp;D35&amp;" "&amp;K35)))</f>
        <v>0</v>
      </c>
      <c r="M35" s="0" t="str">
        <f aca="false">IF(L35,COUNTIF($L$4:L35,TRUE()),"")</f>
        <v/>
      </c>
    </row>
    <row r="36" customFormat="false" ht="15" hidden="false" customHeight="false" outlineLevel="0" collapsed="false">
      <c r="A36" s="39"/>
      <c r="B36" s="39"/>
      <c r="C36" s="39"/>
      <c r="D36" s="39"/>
      <c r="E36" s="39"/>
      <c r="F36" s="39"/>
      <c r="G36" s="56"/>
      <c r="H36" s="56"/>
      <c r="I36" s="64" t="str">
        <f aca="false">IF(A36="","",G36-H36)</f>
        <v/>
      </c>
      <c r="J36" s="48" t="str">
        <f aca="false">IF(A36="","",IF(I36&lt;=0,"✅ Fully Paid","Pending"))</f>
        <v/>
      </c>
      <c r="K36" s="39"/>
      <c r="L36" s="61" t="b">
        <f aca="false">IF('🔍 Search'!$B$2="",A36&lt;&gt;"",ISNUMBER(SEARCH('🔍 Search'!$B$2,A36&amp;" "&amp;B36&amp;" "&amp;C36&amp;" "&amp;D36&amp;" "&amp;K36)))</f>
        <v>0</v>
      </c>
      <c r="M36" s="0" t="str">
        <f aca="false">IF(L36,COUNTIF($L$4:L36,TRUE()),"")</f>
        <v/>
      </c>
    </row>
    <row r="37" customFormat="false" ht="15" hidden="false" customHeight="false" outlineLevel="0" collapsed="false">
      <c r="A37" s="39"/>
      <c r="B37" s="39"/>
      <c r="C37" s="39"/>
      <c r="D37" s="39"/>
      <c r="E37" s="39"/>
      <c r="F37" s="39"/>
      <c r="G37" s="56"/>
      <c r="H37" s="56"/>
      <c r="I37" s="64" t="str">
        <f aca="false">IF(A37="","",G37-H37)</f>
        <v/>
      </c>
      <c r="J37" s="48" t="str">
        <f aca="false">IF(A37="","",IF(I37&lt;=0,"✅ Fully Paid","Pending"))</f>
        <v/>
      </c>
      <c r="K37" s="39"/>
      <c r="L37" s="61" t="b">
        <f aca="false">IF('🔍 Search'!$B$2="",A37&lt;&gt;"",ISNUMBER(SEARCH('🔍 Search'!$B$2,A37&amp;" "&amp;B37&amp;" "&amp;C37&amp;" "&amp;D37&amp;" "&amp;K37)))</f>
        <v>0</v>
      </c>
      <c r="M37" s="0" t="str">
        <f aca="false">IF(L37,COUNTIF($L$4:L37,TRUE()),"")</f>
        <v/>
      </c>
    </row>
    <row r="38" customFormat="false" ht="15" hidden="false" customHeight="false" outlineLevel="0" collapsed="false">
      <c r="A38" s="39"/>
      <c r="B38" s="39"/>
      <c r="C38" s="39"/>
      <c r="D38" s="39"/>
      <c r="E38" s="39"/>
      <c r="F38" s="39"/>
      <c r="G38" s="56"/>
      <c r="H38" s="56"/>
      <c r="I38" s="64" t="str">
        <f aca="false">IF(A38="","",G38-H38)</f>
        <v/>
      </c>
      <c r="J38" s="48" t="str">
        <f aca="false">IF(A38="","",IF(I38&lt;=0,"✅ Fully Paid","Pending"))</f>
        <v/>
      </c>
      <c r="K38" s="39"/>
      <c r="L38" s="61" t="b">
        <f aca="false">IF('🔍 Search'!$B$2="",A38&lt;&gt;"",ISNUMBER(SEARCH('🔍 Search'!$B$2,A38&amp;" "&amp;B38&amp;" "&amp;C38&amp;" "&amp;D38&amp;" "&amp;K38)))</f>
        <v>0</v>
      </c>
      <c r="M38" s="0" t="str">
        <f aca="false">IF(L38,COUNTIF($L$4:L38,TRUE()),"")</f>
        <v/>
      </c>
    </row>
    <row r="39" customFormat="false" ht="15" hidden="false" customHeight="false" outlineLevel="0" collapsed="false">
      <c r="A39" s="39"/>
      <c r="B39" s="39"/>
      <c r="C39" s="39"/>
      <c r="D39" s="39"/>
      <c r="E39" s="39"/>
      <c r="F39" s="39"/>
      <c r="G39" s="56"/>
      <c r="H39" s="56"/>
      <c r="I39" s="64" t="str">
        <f aca="false">IF(A39="","",G39-H39)</f>
        <v/>
      </c>
      <c r="J39" s="48" t="str">
        <f aca="false">IF(A39="","",IF(I39&lt;=0,"✅ Fully Paid","Pending"))</f>
        <v/>
      </c>
      <c r="K39" s="39"/>
      <c r="L39" s="61" t="b">
        <f aca="false">IF('🔍 Search'!$B$2="",A39&lt;&gt;"",ISNUMBER(SEARCH('🔍 Search'!$B$2,A39&amp;" "&amp;B39&amp;" "&amp;C39&amp;" "&amp;D39&amp;" "&amp;K39)))</f>
        <v>0</v>
      </c>
      <c r="M39" s="0" t="str">
        <f aca="false">IF(L39,COUNTIF($L$4:L39,TRUE()),"")</f>
        <v/>
      </c>
    </row>
    <row r="40" customFormat="false" ht="15" hidden="false" customHeight="false" outlineLevel="0" collapsed="false">
      <c r="A40" s="39"/>
      <c r="B40" s="39"/>
      <c r="C40" s="39"/>
      <c r="D40" s="39"/>
      <c r="E40" s="39"/>
      <c r="F40" s="39"/>
      <c r="G40" s="56"/>
      <c r="H40" s="56"/>
      <c r="I40" s="64" t="str">
        <f aca="false">IF(A40="","",G40-H40)</f>
        <v/>
      </c>
      <c r="J40" s="48" t="str">
        <f aca="false">IF(A40="","",IF(I40&lt;=0,"✅ Fully Paid","Pending"))</f>
        <v/>
      </c>
      <c r="K40" s="39"/>
      <c r="L40" s="61" t="b">
        <f aca="false">IF('🔍 Search'!$B$2="",A40&lt;&gt;"",ISNUMBER(SEARCH('🔍 Search'!$B$2,A40&amp;" "&amp;B40&amp;" "&amp;C40&amp;" "&amp;D40&amp;" "&amp;K40)))</f>
        <v>0</v>
      </c>
      <c r="M40" s="0" t="str">
        <f aca="false">IF(L40,COUNTIF($L$4:L40,TRUE()),"")</f>
        <v/>
      </c>
    </row>
    <row r="41" customFormat="false" ht="15" hidden="false" customHeight="false" outlineLevel="0" collapsed="false">
      <c r="A41" s="39"/>
      <c r="B41" s="39"/>
      <c r="C41" s="39"/>
      <c r="D41" s="39"/>
      <c r="E41" s="39"/>
      <c r="F41" s="39"/>
      <c r="G41" s="56"/>
      <c r="H41" s="56"/>
      <c r="I41" s="64" t="str">
        <f aca="false">IF(A41="","",G41-H41)</f>
        <v/>
      </c>
      <c r="J41" s="48" t="str">
        <f aca="false">IF(A41="","",IF(I41&lt;=0,"✅ Fully Paid","Pending"))</f>
        <v/>
      </c>
      <c r="K41" s="39"/>
      <c r="L41" s="61" t="b">
        <f aca="false">IF('🔍 Search'!$B$2="",A41&lt;&gt;"",ISNUMBER(SEARCH('🔍 Search'!$B$2,A41&amp;" "&amp;B41&amp;" "&amp;C41&amp;" "&amp;D41&amp;" "&amp;K41)))</f>
        <v>0</v>
      </c>
      <c r="M41" s="0" t="str">
        <f aca="false">IF(L41,COUNTIF($L$4:L41,TRUE()),"")</f>
        <v/>
      </c>
    </row>
    <row r="42" customFormat="false" ht="15" hidden="false" customHeight="false" outlineLevel="0" collapsed="false">
      <c r="A42" s="39"/>
      <c r="B42" s="39"/>
      <c r="C42" s="39"/>
      <c r="D42" s="39"/>
      <c r="E42" s="39"/>
      <c r="F42" s="39"/>
      <c r="G42" s="56"/>
      <c r="H42" s="56"/>
      <c r="I42" s="64" t="str">
        <f aca="false">IF(A42="","",G42-H42)</f>
        <v/>
      </c>
      <c r="J42" s="48" t="str">
        <f aca="false">IF(A42="","",IF(I42&lt;=0,"✅ Fully Paid","Pending"))</f>
        <v/>
      </c>
      <c r="K42" s="39"/>
      <c r="L42" s="61" t="b">
        <f aca="false">IF('🔍 Search'!$B$2="",A42&lt;&gt;"",ISNUMBER(SEARCH('🔍 Search'!$B$2,A42&amp;" "&amp;B42&amp;" "&amp;C42&amp;" "&amp;D42&amp;" "&amp;K42)))</f>
        <v>0</v>
      </c>
      <c r="M42" s="0" t="str">
        <f aca="false">IF(L42,COUNTIF($L$4:L42,TRUE()),"")</f>
        <v/>
      </c>
    </row>
    <row r="43" customFormat="false" ht="15" hidden="false" customHeight="false" outlineLevel="0" collapsed="false">
      <c r="A43" s="39"/>
      <c r="B43" s="39"/>
      <c r="C43" s="39"/>
      <c r="D43" s="39"/>
      <c r="E43" s="39"/>
      <c r="F43" s="39"/>
      <c r="G43" s="56"/>
      <c r="H43" s="56"/>
      <c r="I43" s="64" t="str">
        <f aca="false">IF(A43="","",G43-H43)</f>
        <v/>
      </c>
      <c r="J43" s="48" t="str">
        <f aca="false">IF(A43="","",IF(I43&lt;=0,"✅ Fully Paid","Pending"))</f>
        <v/>
      </c>
      <c r="K43" s="39"/>
      <c r="L43" s="61" t="b">
        <f aca="false">IF('🔍 Search'!$B$2="",A43&lt;&gt;"",ISNUMBER(SEARCH('🔍 Search'!$B$2,A43&amp;" "&amp;B43&amp;" "&amp;C43&amp;" "&amp;D43&amp;" "&amp;K43)))</f>
        <v>0</v>
      </c>
      <c r="M43" s="0" t="str">
        <f aca="false">IF(L43,COUNTIF($L$4:L43,TRUE()),"")</f>
        <v/>
      </c>
    </row>
    <row r="45" customFormat="false" ht="15" hidden="false" customHeight="true" outlineLevel="0" collapsed="false">
      <c r="A45" s="54" t="s">
        <v>252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</row>
  </sheetData>
  <autoFilter ref="A3:K43"/>
  <mergeCells count="2">
    <mergeCell ref="A1:K1"/>
    <mergeCell ref="A45:K45"/>
  </mergeCells>
  <conditionalFormatting sqref="J4:J43">
    <cfRule type="cellIs" priority="2" operator="equal" aboveAverage="0" equalAverage="0" bottom="0" percent="0" rank="0" text="" dxfId="5">
      <formula>"✅ Fully Paid"</formula>
    </cfRule>
    <cfRule type="cellIs" priority="3" operator="equal" aboveAverage="0" equalAverage="0" bottom="0" percent="0" rank="0" text="" dxfId="6">
      <formula>"Pending"</formula>
    </cfRule>
  </conditionalFormatting>
  <dataValidations count="2">
    <dataValidation allowBlank="true" error="Please choose from the list." errorStyle="stop" errorTitle="Invalid entry" operator="between" showDropDown="false" showErrorMessage="false" showInputMessage="false" sqref="B4:B43" type="list">
      <formula1>List_Categories</formula1>
      <formula2>0</formula2>
    </dataValidation>
    <dataValidation allowBlank="true" error="Please choose from the list." errorStyle="stop" errorTitle="Invalid entry" operator="between" showDropDown="false" showErrorMessage="false" showInputMessage="false" sqref="C4:C43" type="list">
      <formula1>List_FamilyMembers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A3771"/>
    <pageSetUpPr fitToPage="false"/>
  </sheetPr>
  <dimension ref="A1:M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8"/>
    <col collapsed="false" customWidth="true" hidden="true" outlineLevel="0" max="13" min="12" style="0" width="13"/>
  </cols>
  <sheetData>
    <row r="1" customFormat="false" ht="27.75" hidden="false" customHeight="true" outlineLevel="0" collapsed="false">
      <c r="A1" s="31" t="s">
        <v>253</v>
      </c>
      <c r="B1" s="31"/>
      <c r="C1" s="31"/>
      <c r="D1" s="31"/>
      <c r="E1" s="31"/>
      <c r="F1" s="31"/>
    </row>
    <row r="3" customFormat="false" ht="15" hidden="false" customHeight="false" outlineLevel="0" collapsed="false">
      <c r="A3" s="37" t="s">
        <v>227</v>
      </c>
      <c r="B3" s="37"/>
      <c r="C3" s="37"/>
      <c r="D3" s="37"/>
      <c r="E3" s="37"/>
      <c r="F3" s="37"/>
    </row>
    <row r="4" customFormat="false" ht="15.75" hidden="false" customHeight="true" outlineLevel="0" collapsed="false">
      <c r="A4" s="58" t="s">
        <v>254</v>
      </c>
      <c r="B4" s="58"/>
      <c r="C4" s="58" t="s">
        <v>255</v>
      </c>
      <c r="D4" s="58"/>
      <c r="E4" s="58" t="s">
        <v>256</v>
      </c>
      <c r="F4" s="58"/>
    </row>
    <row r="5" customFormat="false" ht="24" hidden="false" customHeight="true" outlineLevel="0" collapsed="false">
      <c r="A5" s="65" t="n">
        <f aca="false">IFERROR(COUNTIF(E7:E56,"Completed")/COUNTA(A7:A56),0)</f>
        <v>0</v>
      </c>
      <c r="B5" s="65"/>
      <c r="C5" s="59" t="n">
        <f aca="false">COUNTA(A7:A56)-COUNTIF(E7:E56,"Completed")</f>
        <v>1</v>
      </c>
      <c r="D5" s="59"/>
      <c r="E5" s="66" t="n">
        <f aca="false">SUM(D7:D56)</f>
        <v>23000</v>
      </c>
      <c r="F5" s="66"/>
    </row>
    <row r="6" customFormat="false" ht="31.5" hidden="false" customHeight="true" outlineLevel="0" collapsed="false">
      <c r="A6" s="42" t="s">
        <v>257</v>
      </c>
      <c r="B6" s="42" t="s">
        <v>208</v>
      </c>
      <c r="C6" s="42" t="s">
        <v>258</v>
      </c>
      <c r="D6" s="42" t="s">
        <v>259</v>
      </c>
      <c r="E6" s="42" t="s">
        <v>212</v>
      </c>
      <c r="F6" s="42" t="s">
        <v>192</v>
      </c>
    </row>
    <row r="7" customFormat="false" ht="15" hidden="false" customHeight="false" outlineLevel="0" collapsed="false">
      <c r="A7" s="43" t="s">
        <v>260</v>
      </c>
      <c r="B7" s="43" t="s">
        <v>86</v>
      </c>
      <c r="C7" s="43" t="s">
        <v>174</v>
      </c>
      <c r="D7" s="55" t="n">
        <v>23000</v>
      </c>
      <c r="E7" s="43" t="s">
        <v>105</v>
      </c>
      <c r="F7" s="43" t="s">
        <v>261</v>
      </c>
      <c r="L7" s="61" t="b">
        <f aca="false">IF('🔍 Search'!$B$2="",A7&lt;&gt;"",ISNUMBER(SEARCH('🔍 Search'!$B$2,A7&amp;" "&amp;B7&amp;" "&amp;C7&amp;" "&amp;F7)))</f>
        <v>1</v>
      </c>
      <c r="M7" s="62" t="n">
        <f aca="false">IF(L7,COUNTIF($L$7:L7,TRUE()),"")</f>
        <v>1</v>
      </c>
    </row>
    <row r="8" customFormat="false" ht="15" hidden="false" customHeight="false" outlineLevel="0" collapsed="false">
      <c r="A8" s="39"/>
      <c r="B8" s="39"/>
      <c r="C8" s="39"/>
      <c r="D8" s="56"/>
      <c r="E8" s="39"/>
      <c r="F8" s="39"/>
      <c r="L8" s="61" t="b">
        <f aca="false">IF('🔍 Search'!$B$2="",A8&lt;&gt;"",ISNUMBER(SEARCH('🔍 Search'!$B$2,A8&amp;" "&amp;B8&amp;" "&amp;C8&amp;" "&amp;F8)))</f>
        <v>0</v>
      </c>
      <c r="M8" s="0" t="str">
        <f aca="false">IF(L8,COUNTIF($L$7:L8,TRUE()),"")</f>
        <v/>
      </c>
    </row>
    <row r="9" customFormat="false" ht="15" hidden="false" customHeight="false" outlineLevel="0" collapsed="false">
      <c r="A9" s="39"/>
      <c r="B9" s="39"/>
      <c r="C9" s="39"/>
      <c r="D9" s="56"/>
      <c r="E9" s="39"/>
      <c r="F9" s="39"/>
      <c r="L9" s="61" t="b">
        <f aca="false">IF('🔍 Search'!$B$2="",A9&lt;&gt;"",ISNUMBER(SEARCH('🔍 Search'!$B$2,A9&amp;" "&amp;B9&amp;" "&amp;C9&amp;" "&amp;F9)))</f>
        <v>0</v>
      </c>
      <c r="M9" s="0" t="str">
        <f aca="false">IF(L9,COUNTIF($L$7:L9,TRUE()),"")</f>
        <v/>
      </c>
    </row>
    <row r="10" customFormat="false" ht="15" hidden="false" customHeight="false" outlineLevel="0" collapsed="false">
      <c r="A10" s="39"/>
      <c r="B10" s="39"/>
      <c r="C10" s="39"/>
      <c r="D10" s="56"/>
      <c r="E10" s="39"/>
      <c r="F10" s="39"/>
      <c r="L10" s="61" t="b">
        <f aca="false">IF('🔍 Search'!$B$2="",A10&lt;&gt;"",ISNUMBER(SEARCH('🔍 Search'!$B$2,A10&amp;" "&amp;B10&amp;" "&amp;C10&amp;" "&amp;F10)))</f>
        <v>0</v>
      </c>
      <c r="M10" s="0" t="str">
        <f aca="false">IF(L10,COUNTIF($L$7:L10,TRUE()),"")</f>
        <v/>
      </c>
    </row>
    <row r="11" customFormat="false" ht="15" hidden="false" customHeight="false" outlineLevel="0" collapsed="false">
      <c r="A11" s="39"/>
      <c r="B11" s="39"/>
      <c r="C11" s="39"/>
      <c r="D11" s="56"/>
      <c r="E11" s="39"/>
      <c r="F11" s="39"/>
      <c r="L11" s="61" t="b">
        <f aca="false">IF('🔍 Search'!$B$2="",A11&lt;&gt;"",ISNUMBER(SEARCH('🔍 Search'!$B$2,A11&amp;" "&amp;B11&amp;" "&amp;C11&amp;" "&amp;F11)))</f>
        <v>0</v>
      </c>
      <c r="M11" s="0" t="str">
        <f aca="false">IF(L11,COUNTIF($L$7:L11,TRUE()),"")</f>
        <v/>
      </c>
    </row>
    <row r="12" customFormat="false" ht="15" hidden="false" customHeight="false" outlineLevel="0" collapsed="false">
      <c r="A12" s="39"/>
      <c r="B12" s="39"/>
      <c r="C12" s="39"/>
      <c r="D12" s="56"/>
      <c r="E12" s="39"/>
      <c r="F12" s="39"/>
      <c r="L12" s="61" t="b">
        <f aca="false">IF('🔍 Search'!$B$2="",A12&lt;&gt;"",ISNUMBER(SEARCH('🔍 Search'!$B$2,A12&amp;" "&amp;B12&amp;" "&amp;C12&amp;" "&amp;F12)))</f>
        <v>0</v>
      </c>
      <c r="M12" s="0" t="str">
        <f aca="false">IF(L12,COUNTIF($L$7:L12,TRUE()),"")</f>
        <v/>
      </c>
    </row>
    <row r="13" customFormat="false" ht="15" hidden="false" customHeight="false" outlineLevel="0" collapsed="false">
      <c r="A13" s="39"/>
      <c r="B13" s="39"/>
      <c r="C13" s="39"/>
      <c r="D13" s="56"/>
      <c r="E13" s="39"/>
      <c r="F13" s="39"/>
      <c r="L13" s="61" t="b">
        <f aca="false">IF('🔍 Search'!$B$2="",A13&lt;&gt;"",ISNUMBER(SEARCH('🔍 Search'!$B$2,A13&amp;" "&amp;B13&amp;" "&amp;C13&amp;" "&amp;F13)))</f>
        <v>0</v>
      </c>
      <c r="M13" s="0" t="str">
        <f aca="false">IF(L13,COUNTIF($L$7:L13,TRUE()),"")</f>
        <v/>
      </c>
    </row>
    <row r="14" customFormat="false" ht="15" hidden="false" customHeight="false" outlineLevel="0" collapsed="false">
      <c r="A14" s="39"/>
      <c r="B14" s="39"/>
      <c r="C14" s="39"/>
      <c r="D14" s="56"/>
      <c r="E14" s="39"/>
      <c r="F14" s="39"/>
      <c r="L14" s="61" t="b">
        <f aca="false">IF('🔍 Search'!$B$2="",A14&lt;&gt;"",ISNUMBER(SEARCH('🔍 Search'!$B$2,A14&amp;" "&amp;B14&amp;" "&amp;C14&amp;" "&amp;F14)))</f>
        <v>0</v>
      </c>
      <c r="M14" s="0" t="str">
        <f aca="false">IF(L14,COUNTIF($L$7:L14,TRUE()),"")</f>
        <v/>
      </c>
    </row>
    <row r="15" customFormat="false" ht="15" hidden="false" customHeight="false" outlineLevel="0" collapsed="false">
      <c r="A15" s="39"/>
      <c r="B15" s="39"/>
      <c r="C15" s="39"/>
      <c r="D15" s="56"/>
      <c r="E15" s="39"/>
      <c r="F15" s="39"/>
      <c r="L15" s="61" t="b">
        <f aca="false">IF('🔍 Search'!$B$2="",A15&lt;&gt;"",ISNUMBER(SEARCH('🔍 Search'!$B$2,A15&amp;" "&amp;B15&amp;" "&amp;C15&amp;" "&amp;F15)))</f>
        <v>0</v>
      </c>
      <c r="M15" s="0" t="str">
        <f aca="false">IF(L15,COUNTIF($L$7:L15,TRUE()),"")</f>
        <v/>
      </c>
    </row>
    <row r="16" customFormat="false" ht="15" hidden="false" customHeight="false" outlineLevel="0" collapsed="false">
      <c r="A16" s="39"/>
      <c r="B16" s="39"/>
      <c r="C16" s="39"/>
      <c r="D16" s="56"/>
      <c r="E16" s="39"/>
      <c r="F16" s="39"/>
      <c r="L16" s="61" t="b">
        <f aca="false">IF('🔍 Search'!$B$2="",A16&lt;&gt;"",ISNUMBER(SEARCH('🔍 Search'!$B$2,A16&amp;" "&amp;B16&amp;" "&amp;C16&amp;" "&amp;F16)))</f>
        <v>0</v>
      </c>
      <c r="M16" s="0" t="str">
        <f aca="false">IF(L16,COUNTIF($L$7:L16,TRUE()),"")</f>
        <v/>
      </c>
    </row>
    <row r="17" customFormat="false" ht="15" hidden="false" customHeight="false" outlineLevel="0" collapsed="false">
      <c r="A17" s="39"/>
      <c r="B17" s="39"/>
      <c r="C17" s="39"/>
      <c r="D17" s="56"/>
      <c r="E17" s="39"/>
      <c r="F17" s="39"/>
      <c r="L17" s="61" t="b">
        <f aca="false">IF('🔍 Search'!$B$2="",A17&lt;&gt;"",ISNUMBER(SEARCH('🔍 Search'!$B$2,A17&amp;" "&amp;B17&amp;" "&amp;C17&amp;" "&amp;F17)))</f>
        <v>0</v>
      </c>
      <c r="M17" s="0" t="str">
        <f aca="false">IF(L17,COUNTIF($L$7:L17,TRUE()),"")</f>
        <v/>
      </c>
    </row>
    <row r="18" customFormat="false" ht="15" hidden="false" customHeight="false" outlineLevel="0" collapsed="false">
      <c r="A18" s="39"/>
      <c r="B18" s="39"/>
      <c r="C18" s="39"/>
      <c r="D18" s="56"/>
      <c r="E18" s="39"/>
      <c r="F18" s="39"/>
      <c r="L18" s="61" t="b">
        <f aca="false">IF('🔍 Search'!$B$2="",A18&lt;&gt;"",ISNUMBER(SEARCH('🔍 Search'!$B$2,A18&amp;" "&amp;B18&amp;" "&amp;C18&amp;" "&amp;F18)))</f>
        <v>0</v>
      </c>
      <c r="M18" s="0" t="str">
        <f aca="false">IF(L18,COUNTIF($L$7:L18,TRUE()),"")</f>
        <v/>
      </c>
    </row>
    <row r="19" customFormat="false" ht="15" hidden="false" customHeight="false" outlineLevel="0" collapsed="false">
      <c r="A19" s="39"/>
      <c r="B19" s="39"/>
      <c r="C19" s="39"/>
      <c r="D19" s="56"/>
      <c r="E19" s="39"/>
      <c r="F19" s="39"/>
      <c r="L19" s="61" t="b">
        <f aca="false">IF('🔍 Search'!$B$2="",A19&lt;&gt;"",ISNUMBER(SEARCH('🔍 Search'!$B$2,A19&amp;" "&amp;B19&amp;" "&amp;C19&amp;" "&amp;F19)))</f>
        <v>0</v>
      </c>
      <c r="M19" s="0" t="str">
        <f aca="false">IF(L19,COUNTIF($L$7:L19,TRUE()),"")</f>
        <v/>
      </c>
    </row>
    <row r="20" customFormat="false" ht="15" hidden="false" customHeight="false" outlineLevel="0" collapsed="false">
      <c r="A20" s="39"/>
      <c r="B20" s="39"/>
      <c r="C20" s="39"/>
      <c r="D20" s="56"/>
      <c r="E20" s="39"/>
      <c r="F20" s="39"/>
      <c r="L20" s="61" t="b">
        <f aca="false">IF('🔍 Search'!$B$2="",A20&lt;&gt;"",ISNUMBER(SEARCH('🔍 Search'!$B$2,A20&amp;" "&amp;B20&amp;" "&amp;C20&amp;" "&amp;F20)))</f>
        <v>0</v>
      </c>
      <c r="M20" s="0" t="str">
        <f aca="false">IF(L20,COUNTIF($L$7:L20,TRUE()),"")</f>
        <v/>
      </c>
    </row>
    <row r="21" customFormat="false" ht="15" hidden="false" customHeight="false" outlineLevel="0" collapsed="false">
      <c r="A21" s="39"/>
      <c r="B21" s="39"/>
      <c r="C21" s="39"/>
      <c r="D21" s="56"/>
      <c r="E21" s="39"/>
      <c r="F21" s="39"/>
      <c r="L21" s="61" t="b">
        <f aca="false">IF('🔍 Search'!$B$2="",A21&lt;&gt;"",ISNUMBER(SEARCH('🔍 Search'!$B$2,A21&amp;" "&amp;B21&amp;" "&amp;C21&amp;" "&amp;F21)))</f>
        <v>0</v>
      </c>
      <c r="M21" s="0" t="str">
        <f aca="false">IF(L21,COUNTIF($L$7:L21,TRUE()),"")</f>
        <v/>
      </c>
    </row>
    <row r="22" customFormat="false" ht="15" hidden="false" customHeight="false" outlineLevel="0" collapsed="false">
      <c r="A22" s="39"/>
      <c r="B22" s="39"/>
      <c r="C22" s="39"/>
      <c r="D22" s="56"/>
      <c r="E22" s="39"/>
      <c r="F22" s="39"/>
      <c r="L22" s="61" t="b">
        <f aca="false">IF('🔍 Search'!$B$2="",A22&lt;&gt;"",ISNUMBER(SEARCH('🔍 Search'!$B$2,A22&amp;" "&amp;B22&amp;" "&amp;C22&amp;" "&amp;F22)))</f>
        <v>0</v>
      </c>
      <c r="M22" s="0" t="str">
        <f aca="false">IF(L22,COUNTIF($L$7:L22,TRUE()),"")</f>
        <v/>
      </c>
    </row>
    <row r="23" customFormat="false" ht="15" hidden="false" customHeight="false" outlineLevel="0" collapsed="false">
      <c r="A23" s="39"/>
      <c r="B23" s="39"/>
      <c r="C23" s="39"/>
      <c r="D23" s="56"/>
      <c r="E23" s="39"/>
      <c r="F23" s="39"/>
      <c r="L23" s="61" t="b">
        <f aca="false">IF('🔍 Search'!$B$2="",A23&lt;&gt;"",ISNUMBER(SEARCH('🔍 Search'!$B$2,A23&amp;" "&amp;B23&amp;" "&amp;C23&amp;" "&amp;F23)))</f>
        <v>0</v>
      </c>
      <c r="M23" s="0" t="str">
        <f aca="false">IF(L23,COUNTIF($L$7:L23,TRUE()),"")</f>
        <v/>
      </c>
    </row>
    <row r="24" customFormat="false" ht="15" hidden="false" customHeight="false" outlineLevel="0" collapsed="false">
      <c r="A24" s="39"/>
      <c r="B24" s="39"/>
      <c r="C24" s="39"/>
      <c r="D24" s="56"/>
      <c r="E24" s="39"/>
      <c r="F24" s="39"/>
      <c r="L24" s="61" t="b">
        <f aca="false">IF('🔍 Search'!$B$2="",A24&lt;&gt;"",ISNUMBER(SEARCH('🔍 Search'!$B$2,A24&amp;" "&amp;B24&amp;" "&amp;C24&amp;" "&amp;F24)))</f>
        <v>0</v>
      </c>
      <c r="M24" s="0" t="str">
        <f aca="false">IF(L24,COUNTIF($L$7:L24,TRUE()),"")</f>
        <v/>
      </c>
    </row>
    <row r="25" customFormat="false" ht="15" hidden="false" customHeight="false" outlineLevel="0" collapsed="false">
      <c r="A25" s="39"/>
      <c r="B25" s="39"/>
      <c r="C25" s="39"/>
      <c r="D25" s="56"/>
      <c r="E25" s="39"/>
      <c r="F25" s="39"/>
      <c r="L25" s="61" t="b">
        <f aca="false">IF('🔍 Search'!$B$2="",A25&lt;&gt;"",ISNUMBER(SEARCH('🔍 Search'!$B$2,A25&amp;" "&amp;B25&amp;" "&amp;C25&amp;" "&amp;F25)))</f>
        <v>0</v>
      </c>
      <c r="M25" s="0" t="str">
        <f aca="false">IF(L25,COUNTIF($L$7:L25,TRUE()),"")</f>
        <v/>
      </c>
    </row>
    <row r="26" customFormat="false" ht="15" hidden="false" customHeight="false" outlineLevel="0" collapsed="false">
      <c r="A26" s="39"/>
      <c r="B26" s="39"/>
      <c r="C26" s="39"/>
      <c r="D26" s="56"/>
      <c r="E26" s="39"/>
      <c r="F26" s="39"/>
      <c r="L26" s="61" t="b">
        <f aca="false">IF('🔍 Search'!$B$2="",A26&lt;&gt;"",ISNUMBER(SEARCH('🔍 Search'!$B$2,A26&amp;" "&amp;B26&amp;" "&amp;C26&amp;" "&amp;F26)))</f>
        <v>0</v>
      </c>
      <c r="M26" s="0" t="str">
        <f aca="false">IF(L26,COUNTIF($L$7:L26,TRUE()),"")</f>
        <v/>
      </c>
    </row>
    <row r="27" customFormat="false" ht="15" hidden="false" customHeight="false" outlineLevel="0" collapsed="false">
      <c r="A27" s="39"/>
      <c r="B27" s="39"/>
      <c r="C27" s="39"/>
      <c r="D27" s="56"/>
      <c r="E27" s="39"/>
      <c r="F27" s="39"/>
      <c r="L27" s="61" t="b">
        <f aca="false">IF('🔍 Search'!$B$2="",A27&lt;&gt;"",ISNUMBER(SEARCH('🔍 Search'!$B$2,A27&amp;" "&amp;B27&amp;" "&amp;C27&amp;" "&amp;F27)))</f>
        <v>0</v>
      </c>
      <c r="M27" s="0" t="str">
        <f aca="false">IF(L27,COUNTIF($L$7:L27,TRUE()),"")</f>
        <v/>
      </c>
    </row>
    <row r="28" customFormat="false" ht="15" hidden="false" customHeight="false" outlineLevel="0" collapsed="false">
      <c r="A28" s="39"/>
      <c r="B28" s="39"/>
      <c r="C28" s="39"/>
      <c r="D28" s="56"/>
      <c r="E28" s="39"/>
      <c r="F28" s="39"/>
      <c r="L28" s="61" t="b">
        <f aca="false">IF('🔍 Search'!$B$2="",A28&lt;&gt;"",ISNUMBER(SEARCH('🔍 Search'!$B$2,A28&amp;" "&amp;B28&amp;" "&amp;C28&amp;" "&amp;F28)))</f>
        <v>0</v>
      </c>
      <c r="M28" s="0" t="str">
        <f aca="false">IF(L28,COUNTIF($L$7:L28,TRUE()),"")</f>
        <v/>
      </c>
    </row>
    <row r="29" customFormat="false" ht="15" hidden="false" customHeight="false" outlineLevel="0" collapsed="false">
      <c r="A29" s="39"/>
      <c r="B29" s="39"/>
      <c r="C29" s="39"/>
      <c r="D29" s="56"/>
      <c r="E29" s="39"/>
      <c r="F29" s="39"/>
      <c r="L29" s="61" t="b">
        <f aca="false">IF('🔍 Search'!$B$2="",A29&lt;&gt;"",ISNUMBER(SEARCH('🔍 Search'!$B$2,A29&amp;" "&amp;B29&amp;" "&amp;C29&amp;" "&amp;F29)))</f>
        <v>0</v>
      </c>
      <c r="M29" s="0" t="str">
        <f aca="false">IF(L29,COUNTIF($L$7:L29,TRUE()),"")</f>
        <v/>
      </c>
    </row>
    <row r="30" customFormat="false" ht="15" hidden="false" customHeight="false" outlineLevel="0" collapsed="false">
      <c r="A30" s="39"/>
      <c r="B30" s="39"/>
      <c r="C30" s="39"/>
      <c r="D30" s="56"/>
      <c r="E30" s="39"/>
      <c r="F30" s="39"/>
      <c r="L30" s="61" t="b">
        <f aca="false">IF('🔍 Search'!$B$2="",A30&lt;&gt;"",ISNUMBER(SEARCH('🔍 Search'!$B$2,A30&amp;" "&amp;B30&amp;" "&amp;C30&amp;" "&amp;F30)))</f>
        <v>0</v>
      </c>
      <c r="M30" s="0" t="str">
        <f aca="false">IF(L30,COUNTIF($L$7:L30,TRUE()),"")</f>
        <v/>
      </c>
    </row>
    <row r="31" customFormat="false" ht="15" hidden="false" customHeight="false" outlineLevel="0" collapsed="false">
      <c r="A31" s="39"/>
      <c r="B31" s="39"/>
      <c r="C31" s="39"/>
      <c r="D31" s="56"/>
      <c r="E31" s="39"/>
      <c r="F31" s="39"/>
      <c r="L31" s="61" t="b">
        <f aca="false">IF('🔍 Search'!$B$2="",A31&lt;&gt;"",ISNUMBER(SEARCH('🔍 Search'!$B$2,A31&amp;" "&amp;B31&amp;" "&amp;C31&amp;" "&amp;F31)))</f>
        <v>0</v>
      </c>
      <c r="M31" s="0" t="str">
        <f aca="false">IF(L31,COUNTIF($L$7:L31,TRUE()),"")</f>
        <v/>
      </c>
    </row>
    <row r="32" customFormat="false" ht="15" hidden="false" customHeight="false" outlineLevel="0" collapsed="false">
      <c r="A32" s="39"/>
      <c r="B32" s="39"/>
      <c r="C32" s="39"/>
      <c r="D32" s="56"/>
      <c r="E32" s="39"/>
      <c r="F32" s="39"/>
      <c r="L32" s="61" t="b">
        <f aca="false">IF('🔍 Search'!$B$2="",A32&lt;&gt;"",ISNUMBER(SEARCH('🔍 Search'!$B$2,A32&amp;" "&amp;B32&amp;" "&amp;C32&amp;" "&amp;F32)))</f>
        <v>0</v>
      </c>
      <c r="M32" s="0" t="str">
        <f aca="false">IF(L32,COUNTIF($L$7:L32,TRUE()),"")</f>
        <v/>
      </c>
    </row>
    <row r="33" customFormat="false" ht="15" hidden="false" customHeight="false" outlineLevel="0" collapsed="false">
      <c r="A33" s="39"/>
      <c r="B33" s="39"/>
      <c r="C33" s="39"/>
      <c r="D33" s="56"/>
      <c r="E33" s="39"/>
      <c r="F33" s="39"/>
      <c r="L33" s="61" t="b">
        <f aca="false">IF('🔍 Search'!$B$2="",A33&lt;&gt;"",ISNUMBER(SEARCH('🔍 Search'!$B$2,A33&amp;" "&amp;B33&amp;" "&amp;C33&amp;" "&amp;F33)))</f>
        <v>0</v>
      </c>
      <c r="M33" s="0" t="str">
        <f aca="false">IF(L33,COUNTIF($L$7:L33,TRUE()),"")</f>
        <v/>
      </c>
    </row>
    <row r="34" customFormat="false" ht="15" hidden="false" customHeight="false" outlineLevel="0" collapsed="false">
      <c r="A34" s="39"/>
      <c r="B34" s="39"/>
      <c r="C34" s="39"/>
      <c r="D34" s="56"/>
      <c r="E34" s="39"/>
      <c r="F34" s="39"/>
      <c r="L34" s="61" t="b">
        <f aca="false">IF('🔍 Search'!$B$2="",A34&lt;&gt;"",ISNUMBER(SEARCH('🔍 Search'!$B$2,A34&amp;" "&amp;B34&amp;" "&amp;C34&amp;" "&amp;F34)))</f>
        <v>0</v>
      </c>
      <c r="M34" s="0" t="str">
        <f aca="false">IF(L34,COUNTIF($L$7:L34,TRUE()),"")</f>
        <v/>
      </c>
    </row>
    <row r="35" customFormat="false" ht="15" hidden="false" customHeight="false" outlineLevel="0" collapsed="false">
      <c r="A35" s="39"/>
      <c r="B35" s="39"/>
      <c r="C35" s="39"/>
      <c r="D35" s="56"/>
      <c r="E35" s="39"/>
      <c r="F35" s="39"/>
      <c r="L35" s="61" t="b">
        <f aca="false">IF('🔍 Search'!$B$2="",A35&lt;&gt;"",ISNUMBER(SEARCH('🔍 Search'!$B$2,A35&amp;" "&amp;B35&amp;" "&amp;C35&amp;" "&amp;F35)))</f>
        <v>0</v>
      </c>
      <c r="M35" s="0" t="str">
        <f aca="false">IF(L35,COUNTIF($L$7:L35,TRUE()),"")</f>
        <v/>
      </c>
    </row>
    <row r="36" customFormat="false" ht="15" hidden="false" customHeight="false" outlineLevel="0" collapsed="false">
      <c r="A36" s="39"/>
      <c r="B36" s="39"/>
      <c r="C36" s="39"/>
      <c r="D36" s="56"/>
      <c r="E36" s="39"/>
      <c r="F36" s="39"/>
      <c r="L36" s="61" t="b">
        <f aca="false">IF('🔍 Search'!$B$2="",A36&lt;&gt;"",ISNUMBER(SEARCH('🔍 Search'!$B$2,A36&amp;" "&amp;B36&amp;" "&amp;C36&amp;" "&amp;F36)))</f>
        <v>0</v>
      </c>
      <c r="M36" s="0" t="str">
        <f aca="false">IF(L36,COUNTIF($L$7:L36,TRUE()),"")</f>
        <v/>
      </c>
    </row>
    <row r="37" customFormat="false" ht="15" hidden="false" customHeight="false" outlineLevel="0" collapsed="false">
      <c r="A37" s="39"/>
      <c r="B37" s="39"/>
      <c r="C37" s="39"/>
      <c r="D37" s="56"/>
      <c r="E37" s="39"/>
      <c r="F37" s="39"/>
      <c r="L37" s="61" t="b">
        <f aca="false">IF('🔍 Search'!$B$2="",A37&lt;&gt;"",ISNUMBER(SEARCH('🔍 Search'!$B$2,A37&amp;" "&amp;B37&amp;" "&amp;C37&amp;" "&amp;F37)))</f>
        <v>0</v>
      </c>
      <c r="M37" s="0" t="str">
        <f aca="false">IF(L37,COUNTIF($L$7:L37,TRUE()),"")</f>
        <v/>
      </c>
    </row>
    <row r="38" customFormat="false" ht="15" hidden="false" customHeight="false" outlineLevel="0" collapsed="false">
      <c r="A38" s="39"/>
      <c r="B38" s="39"/>
      <c r="C38" s="39"/>
      <c r="D38" s="56"/>
      <c r="E38" s="39"/>
      <c r="F38" s="39"/>
      <c r="L38" s="61" t="b">
        <f aca="false">IF('🔍 Search'!$B$2="",A38&lt;&gt;"",ISNUMBER(SEARCH('🔍 Search'!$B$2,A38&amp;" "&amp;B38&amp;" "&amp;C38&amp;" "&amp;F38)))</f>
        <v>0</v>
      </c>
      <c r="M38" s="0" t="str">
        <f aca="false">IF(L38,COUNTIF($L$7:L38,TRUE()),"")</f>
        <v/>
      </c>
    </row>
    <row r="39" customFormat="false" ht="15" hidden="false" customHeight="false" outlineLevel="0" collapsed="false">
      <c r="A39" s="39"/>
      <c r="B39" s="39"/>
      <c r="C39" s="39"/>
      <c r="D39" s="56"/>
      <c r="E39" s="39"/>
      <c r="F39" s="39"/>
      <c r="L39" s="61" t="b">
        <f aca="false">IF('🔍 Search'!$B$2="",A39&lt;&gt;"",ISNUMBER(SEARCH('🔍 Search'!$B$2,A39&amp;" "&amp;B39&amp;" "&amp;C39&amp;" "&amp;F39)))</f>
        <v>0</v>
      </c>
      <c r="M39" s="0" t="str">
        <f aca="false">IF(L39,COUNTIF($L$7:L39,TRUE()),"")</f>
        <v/>
      </c>
    </row>
    <row r="40" customFormat="false" ht="15" hidden="false" customHeight="false" outlineLevel="0" collapsed="false">
      <c r="A40" s="39"/>
      <c r="B40" s="39"/>
      <c r="C40" s="39"/>
      <c r="D40" s="56"/>
      <c r="E40" s="39"/>
      <c r="F40" s="39"/>
      <c r="L40" s="61" t="b">
        <f aca="false">IF('🔍 Search'!$B$2="",A40&lt;&gt;"",ISNUMBER(SEARCH('🔍 Search'!$B$2,A40&amp;" "&amp;B40&amp;" "&amp;C40&amp;" "&amp;F40)))</f>
        <v>0</v>
      </c>
      <c r="M40" s="0" t="str">
        <f aca="false">IF(L40,COUNTIF($L$7:L40,TRUE()),"")</f>
        <v/>
      </c>
    </row>
    <row r="41" customFormat="false" ht="15" hidden="false" customHeight="false" outlineLevel="0" collapsed="false">
      <c r="A41" s="39"/>
      <c r="B41" s="39"/>
      <c r="C41" s="39"/>
      <c r="D41" s="56"/>
      <c r="E41" s="39"/>
      <c r="F41" s="39"/>
      <c r="L41" s="61" t="b">
        <f aca="false">IF('🔍 Search'!$B$2="",A41&lt;&gt;"",ISNUMBER(SEARCH('🔍 Search'!$B$2,A41&amp;" "&amp;B41&amp;" "&amp;C41&amp;" "&amp;F41)))</f>
        <v>0</v>
      </c>
      <c r="M41" s="0" t="str">
        <f aca="false">IF(L41,COUNTIF($L$7:L41,TRUE()),"")</f>
        <v/>
      </c>
    </row>
    <row r="42" customFormat="false" ht="15" hidden="false" customHeight="false" outlineLevel="0" collapsed="false">
      <c r="A42" s="39"/>
      <c r="B42" s="39"/>
      <c r="C42" s="39"/>
      <c r="D42" s="56"/>
      <c r="E42" s="39"/>
      <c r="F42" s="39"/>
      <c r="L42" s="61" t="b">
        <f aca="false">IF('🔍 Search'!$B$2="",A42&lt;&gt;"",ISNUMBER(SEARCH('🔍 Search'!$B$2,A42&amp;" "&amp;B42&amp;" "&amp;C42&amp;" "&amp;F42)))</f>
        <v>0</v>
      </c>
      <c r="M42" s="0" t="str">
        <f aca="false">IF(L42,COUNTIF($L$7:L42,TRUE()),"")</f>
        <v/>
      </c>
    </row>
    <row r="43" customFormat="false" ht="15" hidden="false" customHeight="false" outlineLevel="0" collapsed="false">
      <c r="A43" s="39"/>
      <c r="B43" s="39"/>
      <c r="C43" s="39"/>
      <c r="D43" s="56"/>
      <c r="E43" s="39"/>
      <c r="F43" s="39"/>
      <c r="L43" s="61" t="b">
        <f aca="false">IF('🔍 Search'!$B$2="",A43&lt;&gt;"",ISNUMBER(SEARCH('🔍 Search'!$B$2,A43&amp;" "&amp;B43&amp;" "&amp;C43&amp;" "&amp;F43)))</f>
        <v>0</v>
      </c>
      <c r="M43" s="0" t="str">
        <f aca="false">IF(L43,COUNTIF($L$7:L43,TRUE()),"")</f>
        <v/>
      </c>
    </row>
    <row r="44" customFormat="false" ht="15" hidden="false" customHeight="false" outlineLevel="0" collapsed="false">
      <c r="A44" s="39"/>
      <c r="B44" s="39"/>
      <c r="C44" s="39"/>
      <c r="D44" s="56"/>
      <c r="E44" s="39"/>
      <c r="F44" s="39"/>
      <c r="L44" s="61" t="b">
        <f aca="false">IF('🔍 Search'!$B$2="",A44&lt;&gt;"",ISNUMBER(SEARCH('🔍 Search'!$B$2,A44&amp;" "&amp;B44&amp;" "&amp;C44&amp;" "&amp;F44)))</f>
        <v>0</v>
      </c>
      <c r="M44" s="0" t="str">
        <f aca="false">IF(L44,COUNTIF($L$7:L44,TRUE()),"")</f>
        <v/>
      </c>
    </row>
    <row r="45" customFormat="false" ht="15" hidden="false" customHeight="false" outlineLevel="0" collapsed="false">
      <c r="A45" s="39"/>
      <c r="B45" s="39"/>
      <c r="C45" s="39"/>
      <c r="D45" s="56"/>
      <c r="E45" s="39"/>
      <c r="F45" s="39"/>
      <c r="L45" s="61" t="b">
        <f aca="false">IF('🔍 Search'!$B$2="",A45&lt;&gt;"",ISNUMBER(SEARCH('🔍 Search'!$B$2,A45&amp;" "&amp;B45&amp;" "&amp;C45&amp;" "&amp;F45)))</f>
        <v>0</v>
      </c>
      <c r="M45" s="0" t="str">
        <f aca="false">IF(L45,COUNTIF($L$7:L45,TRUE()),"")</f>
        <v/>
      </c>
    </row>
    <row r="46" customFormat="false" ht="15" hidden="false" customHeight="false" outlineLevel="0" collapsed="false">
      <c r="A46" s="39"/>
      <c r="B46" s="39"/>
      <c r="C46" s="39"/>
      <c r="D46" s="56"/>
      <c r="E46" s="39"/>
      <c r="F46" s="39"/>
      <c r="L46" s="61" t="b">
        <f aca="false">IF('🔍 Search'!$B$2="",A46&lt;&gt;"",ISNUMBER(SEARCH('🔍 Search'!$B$2,A46&amp;" "&amp;B46&amp;" "&amp;C46&amp;" "&amp;F46)))</f>
        <v>0</v>
      </c>
      <c r="M46" s="0" t="str">
        <f aca="false">IF(L46,COUNTIF($L$7:L46,TRUE()),"")</f>
        <v/>
      </c>
    </row>
    <row r="47" customFormat="false" ht="15" hidden="false" customHeight="false" outlineLevel="0" collapsed="false">
      <c r="A47" s="39"/>
      <c r="B47" s="39"/>
      <c r="C47" s="39"/>
      <c r="D47" s="56"/>
      <c r="E47" s="39"/>
      <c r="F47" s="39"/>
      <c r="L47" s="61" t="b">
        <f aca="false">IF('🔍 Search'!$B$2="",A47&lt;&gt;"",ISNUMBER(SEARCH('🔍 Search'!$B$2,A47&amp;" "&amp;B47&amp;" "&amp;C47&amp;" "&amp;F47)))</f>
        <v>0</v>
      </c>
      <c r="M47" s="0" t="str">
        <f aca="false">IF(L47,COUNTIF($L$7:L47,TRUE()),"")</f>
        <v/>
      </c>
    </row>
    <row r="48" customFormat="false" ht="15" hidden="false" customHeight="false" outlineLevel="0" collapsed="false">
      <c r="A48" s="39"/>
      <c r="B48" s="39"/>
      <c r="C48" s="39"/>
      <c r="D48" s="56"/>
      <c r="E48" s="39"/>
      <c r="F48" s="39"/>
      <c r="L48" s="61" t="b">
        <f aca="false">IF('🔍 Search'!$B$2="",A48&lt;&gt;"",ISNUMBER(SEARCH('🔍 Search'!$B$2,A48&amp;" "&amp;B48&amp;" "&amp;C48&amp;" "&amp;F48)))</f>
        <v>0</v>
      </c>
      <c r="M48" s="0" t="str">
        <f aca="false">IF(L48,COUNTIF($L$7:L48,TRUE()),"")</f>
        <v/>
      </c>
    </row>
    <row r="49" customFormat="false" ht="15" hidden="false" customHeight="false" outlineLevel="0" collapsed="false">
      <c r="A49" s="39"/>
      <c r="B49" s="39"/>
      <c r="C49" s="39"/>
      <c r="D49" s="56"/>
      <c r="E49" s="39"/>
      <c r="F49" s="39"/>
      <c r="L49" s="61" t="b">
        <f aca="false">IF('🔍 Search'!$B$2="",A49&lt;&gt;"",ISNUMBER(SEARCH('🔍 Search'!$B$2,A49&amp;" "&amp;B49&amp;" "&amp;C49&amp;" "&amp;F49)))</f>
        <v>0</v>
      </c>
      <c r="M49" s="0" t="str">
        <f aca="false">IF(L49,COUNTIF($L$7:L49,TRUE()),"")</f>
        <v/>
      </c>
    </row>
    <row r="50" customFormat="false" ht="15" hidden="false" customHeight="false" outlineLevel="0" collapsed="false">
      <c r="A50" s="39"/>
      <c r="B50" s="39"/>
      <c r="C50" s="39"/>
      <c r="D50" s="56"/>
      <c r="E50" s="39"/>
      <c r="F50" s="39"/>
      <c r="L50" s="61" t="b">
        <f aca="false">IF('🔍 Search'!$B$2="",A50&lt;&gt;"",ISNUMBER(SEARCH('🔍 Search'!$B$2,A50&amp;" "&amp;B50&amp;" "&amp;C50&amp;" "&amp;F50)))</f>
        <v>0</v>
      </c>
      <c r="M50" s="0" t="str">
        <f aca="false">IF(L50,COUNTIF($L$7:L50,TRUE()),"")</f>
        <v/>
      </c>
    </row>
    <row r="51" customFormat="false" ht="15" hidden="false" customHeight="false" outlineLevel="0" collapsed="false">
      <c r="A51" s="39"/>
      <c r="B51" s="39"/>
      <c r="C51" s="39"/>
      <c r="D51" s="56"/>
      <c r="E51" s="39"/>
      <c r="F51" s="39"/>
      <c r="L51" s="61" t="b">
        <f aca="false">IF('🔍 Search'!$B$2="",A51&lt;&gt;"",ISNUMBER(SEARCH('🔍 Search'!$B$2,A51&amp;" "&amp;B51&amp;" "&amp;C51&amp;" "&amp;F51)))</f>
        <v>0</v>
      </c>
      <c r="M51" s="0" t="str">
        <f aca="false">IF(L51,COUNTIF($L$7:L51,TRUE()),"")</f>
        <v/>
      </c>
    </row>
    <row r="52" customFormat="false" ht="15" hidden="false" customHeight="false" outlineLevel="0" collapsed="false">
      <c r="A52" s="39"/>
      <c r="B52" s="39"/>
      <c r="C52" s="39"/>
      <c r="D52" s="56"/>
      <c r="E52" s="39"/>
      <c r="F52" s="39"/>
      <c r="L52" s="61" t="b">
        <f aca="false">IF('🔍 Search'!$B$2="",A52&lt;&gt;"",ISNUMBER(SEARCH('🔍 Search'!$B$2,A52&amp;" "&amp;B52&amp;" "&amp;C52&amp;" "&amp;F52)))</f>
        <v>0</v>
      </c>
      <c r="M52" s="0" t="str">
        <f aca="false">IF(L52,COUNTIF($L$7:L52,TRUE()),"")</f>
        <v/>
      </c>
    </row>
    <row r="53" customFormat="false" ht="15" hidden="false" customHeight="false" outlineLevel="0" collapsed="false">
      <c r="A53" s="39"/>
      <c r="B53" s="39"/>
      <c r="C53" s="39"/>
      <c r="D53" s="56"/>
      <c r="E53" s="39"/>
      <c r="F53" s="39"/>
      <c r="L53" s="61" t="b">
        <f aca="false">IF('🔍 Search'!$B$2="",A53&lt;&gt;"",ISNUMBER(SEARCH('🔍 Search'!$B$2,A53&amp;" "&amp;B53&amp;" "&amp;C53&amp;" "&amp;F53)))</f>
        <v>0</v>
      </c>
      <c r="M53" s="0" t="str">
        <f aca="false">IF(L53,COUNTIF($L$7:L53,TRUE()),"")</f>
        <v/>
      </c>
    </row>
    <row r="54" customFormat="false" ht="15" hidden="false" customHeight="false" outlineLevel="0" collapsed="false">
      <c r="A54" s="39"/>
      <c r="B54" s="39"/>
      <c r="C54" s="39"/>
      <c r="D54" s="56"/>
      <c r="E54" s="39"/>
      <c r="F54" s="39"/>
      <c r="L54" s="61" t="b">
        <f aca="false">IF('🔍 Search'!$B$2="",A54&lt;&gt;"",ISNUMBER(SEARCH('🔍 Search'!$B$2,A54&amp;" "&amp;B54&amp;" "&amp;C54&amp;" "&amp;F54)))</f>
        <v>0</v>
      </c>
      <c r="M54" s="0" t="str">
        <f aca="false">IF(L54,COUNTIF($L$7:L54,TRUE()),"")</f>
        <v/>
      </c>
    </row>
    <row r="55" customFormat="false" ht="15" hidden="false" customHeight="false" outlineLevel="0" collapsed="false">
      <c r="A55" s="39"/>
      <c r="B55" s="39"/>
      <c r="C55" s="39"/>
      <c r="D55" s="56"/>
      <c r="E55" s="39"/>
      <c r="F55" s="39"/>
      <c r="L55" s="61" t="b">
        <f aca="false">IF('🔍 Search'!$B$2="",A55&lt;&gt;"",ISNUMBER(SEARCH('🔍 Search'!$B$2,A55&amp;" "&amp;B55&amp;" "&amp;C55&amp;" "&amp;F55)))</f>
        <v>0</v>
      </c>
      <c r="M55" s="0" t="str">
        <f aca="false">IF(L55,COUNTIF($L$7:L55,TRUE()),"")</f>
        <v/>
      </c>
    </row>
    <row r="56" customFormat="false" ht="15" hidden="false" customHeight="false" outlineLevel="0" collapsed="false">
      <c r="A56" s="39"/>
      <c r="B56" s="39"/>
      <c r="C56" s="39"/>
      <c r="D56" s="56"/>
      <c r="E56" s="39"/>
      <c r="F56" s="39"/>
      <c r="L56" s="61" t="b">
        <f aca="false">IF('🔍 Search'!$B$2="",A56&lt;&gt;"",ISNUMBER(SEARCH('🔍 Search'!$B$2,A56&amp;" "&amp;B56&amp;" "&amp;C56&amp;" "&amp;F56)))</f>
        <v>0</v>
      </c>
      <c r="M56" s="0" t="str">
        <f aca="false">IF(L56,COUNTIF($L$7:L56,TRUE()),"")</f>
        <v/>
      </c>
    </row>
    <row r="58" customFormat="false" ht="25.5" hidden="false" customHeight="true" outlineLevel="0" collapsed="false">
      <c r="A58" s="54" t="s">
        <v>262</v>
      </c>
      <c r="B58" s="54"/>
      <c r="C58" s="54"/>
      <c r="D58" s="54"/>
      <c r="E58" s="54"/>
      <c r="F58" s="54"/>
    </row>
  </sheetData>
  <autoFilter ref="A6:F56"/>
  <mergeCells count="9">
    <mergeCell ref="A1:F1"/>
    <mergeCell ref="A3:F3"/>
    <mergeCell ref="A4:B4"/>
    <mergeCell ref="C4:D4"/>
    <mergeCell ref="E4:F4"/>
    <mergeCell ref="A5:B5"/>
    <mergeCell ref="C5:D5"/>
    <mergeCell ref="E5:F5"/>
    <mergeCell ref="A58:F58"/>
  </mergeCells>
  <conditionalFormatting sqref="E7:E56">
    <cfRule type="cellIs" priority="2" operator="equal" aboveAverage="0" equalAverage="0" bottom="0" percent="0" rank="0" text="" dxfId="13">
      <formula>"Not Started"</formula>
    </cfRule>
    <cfRule type="cellIs" priority="3" operator="equal" aboveAverage="0" equalAverage="0" bottom="0" percent="0" rank="0" text="" dxfId="14">
      <formula>"Ordered"</formula>
    </cfRule>
    <cfRule type="cellIs" priority="4" operator="equal" aboveAverage="0" equalAverage="0" bottom="0" percent="0" rank="0" text="" dxfId="15">
      <formula>"Purchased"</formula>
    </cfRule>
    <cfRule type="cellIs" priority="5" operator="equal" aboveAverage="0" equalAverage="0" bottom="0" percent="0" rank="0" text="" dxfId="16">
      <formula>"Delivered"</formula>
    </cfRule>
    <cfRule type="cellIs" priority="6" operator="equal" aboveAverage="0" equalAverage="0" bottom="0" percent="0" rank="0" text="" dxfId="4">
      <formula>"Alteration Pending"</formula>
    </cfRule>
    <cfRule type="cellIs" priority="7" operator="equal" aboveAverage="0" equalAverage="0" bottom="0" percent="0" rank="0" text="" dxfId="17">
      <formula>"Completed"</formula>
    </cfRule>
  </conditionalFormatting>
  <dataValidations count="3">
    <dataValidation allowBlank="true" error="Please choose from the list." errorStyle="stop" errorTitle="Invalid entry" operator="between" showDropDown="false" showErrorMessage="false" showInputMessage="false" sqref="B7:B56" type="list">
      <formula1>List_ShoppingCategories</formula1>
      <formula2>0</formula2>
    </dataValidation>
    <dataValidation allowBlank="true" error="Please choose from the list." errorStyle="stop" errorTitle="Invalid entry" operator="between" showDropDown="false" showErrorMessage="false" showInputMessage="false" sqref="C7:C56" type="list">
      <formula1>List_FamilyMembers</formula1>
      <formula2>0</formula2>
    </dataValidation>
    <dataValidation allowBlank="true" error="Please choose from the list." errorStyle="stop" errorTitle="Invalid entry" operator="between" showDropDown="false" showErrorMessage="false" showInputMessage="false" sqref="E7:E56" type="list">
      <formula1>List_ShoppingStatus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A3771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3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8"/>
  </cols>
  <sheetData>
    <row r="1" customFormat="false" ht="27.75" hidden="false" customHeight="true" outlineLevel="0" collapsed="false">
      <c r="A1" s="31" t="s">
        <v>7</v>
      </c>
      <c r="B1" s="31"/>
      <c r="C1" s="31"/>
      <c r="D1" s="31"/>
      <c r="E1" s="31"/>
      <c r="F1" s="31"/>
    </row>
    <row r="3" customFormat="false" ht="30" hidden="false" customHeight="true" outlineLevel="0" collapsed="false">
      <c r="A3" s="42" t="s">
        <v>257</v>
      </c>
      <c r="B3" s="42" t="s">
        <v>263</v>
      </c>
      <c r="C3" s="42" t="s">
        <v>264</v>
      </c>
      <c r="D3" s="42" t="s">
        <v>258</v>
      </c>
      <c r="E3" s="42" t="s">
        <v>212</v>
      </c>
      <c r="F3" s="42" t="s">
        <v>192</v>
      </c>
    </row>
    <row r="4" customFormat="false" ht="15" hidden="false" customHeight="false" outlineLevel="0" collapsed="false">
      <c r="A4" s="43" t="s">
        <v>265</v>
      </c>
      <c r="B4" s="43" t="n">
        <v>150</v>
      </c>
      <c r="C4" s="43" t="n">
        <v>100</v>
      </c>
      <c r="D4" s="43" t="s">
        <v>96</v>
      </c>
      <c r="E4" s="43" t="s">
        <v>105</v>
      </c>
      <c r="F4" s="43" t="s">
        <v>266</v>
      </c>
    </row>
    <row r="5" customFormat="false" ht="15" hidden="false" customHeight="false" outlineLevel="0" collapsed="false">
      <c r="A5" s="39" t="s">
        <v>122</v>
      </c>
      <c r="B5" s="39"/>
      <c r="C5" s="39"/>
      <c r="D5" s="39"/>
      <c r="E5" s="39"/>
      <c r="F5" s="39"/>
    </row>
    <row r="6" customFormat="false" ht="15" hidden="false" customHeight="false" outlineLevel="0" collapsed="false">
      <c r="A6" s="39" t="s">
        <v>267</v>
      </c>
      <c r="B6" s="39"/>
      <c r="C6" s="39"/>
      <c r="D6" s="39"/>
      <c r="E6" s="39"/>
      <c r="F6" s="39"/>
    </row>
    <row r="7" customFormat="false" ht="15" hidden="false" customHeight="false" outlineLevel="0" collapsed="false">
      <c r="A7" s="39" t="s">
        <v>268</v>
      </c>
      <c r="B7" s="39"/>
      <c r="C7" s="39"/>
      <c r="D7" s="39"/>
      <c r="E7" s="39"/>
      <c r="F7" s="39"/>
    </row>
    <row r="8" customFormat="false" ht="15" hidden="false" customHeight="false" outlineLevel="0" collapsed="false">
      <c r="A8" s="39" t="s">
        <v>269</v>
      </c>
      <c r="B8" s="39"/>
      <c r="C8" s="39"/>
      <c r="D8" s="39"/>
      <c r="E8" s="39"/>
      <c r="F8" s="39"/>
    </row>
    <row r="9" customFormat="false" ht="15" hidden="false" customHeight="false" outlineLevel="0" collapsed="false">
      <c r="A9" s="39" t="s">
        <v>270</v>
      </c>
      <c r="B9" s="39"/>
      <c r="C9" s="39"/>
      <c r="D9" s="39"/>
      <c r="E9" s="39"/>
      <c r="F9" s="39"/>
    </row>
    <row r="10" customFormat="false" ht="15" hidden="false" customHeight="false" outlineLevel="0" collapsed="false">
      <c r="A10" s="39" t="s">
        <v>271</v>
      </c>
      <c r="B10" s="39"/>
      <c r="C10" s="39"/>
      <c r="D10" s="39"/>
      <c r="E10" s="39"/>
      <c r="F10" s="39"/>
    </row>
    <row r="11" customFormat="false" ht="15" hidden="false" customHeight="false" outlineLevel="0" collapsed="false">
      <c r="A11" s="39" t="s">
        <v>272</v>
      </c>
      <c r="B11" s="39"/>
      <c r="C11" s="39"/>
      <c r="D11" s="39"/>
      <c r="E11" s="39"/>
      <c r="F11" s="39"/>
    </row>
    <row r="12" customFormat="false" ht="15" hidden="false" customHeight="false" outlineLevel="0" collapsed="false">
      <c r="A12" s="39" t="s">
        <v>273</v>
      </c>
      <c r="B12" s="39"/>
      <c r="C12" s="39"/>
      <c r="D12" s="39"/>
      <c r="E12" s="39"/>
      <c r="F12" s="39"/>
    </row>
    <row r="13" customFormat="false" ht="15" hidden="false" customHeight="false" outlineLevel="0" collapsed="false">
      <c r="A13" s="39"/>
      <c r="B13" s="39"/>
      <c r="C13" s="39"/>
      <c r="D13" s="39"/>
      <c r="E13" s="39"/>
      <c r="F13" s="39"/>
    </row>
    <row r="14" customFormat="false" ht="15" hidden="false" customHeight="false" outlineLevel="0" collapsed="false">
      <c r="A14" s="39"/>
      <c r="B14" s="39"/>
      <c r="C14" s="39"/>
      <c r="D14" s="39"/>
      <c r="E14" s="39"/>
      <c r="F14" s="39"/>
    </row>
    <row r="15" customFormat="false" ht="15" hidden="false" customHeight="false" outlineLevel="0" collapsed="false">
      <c r="A15" s="39"/>
      <c r="B15" s="39"/>
      <c r="C15" s="39"/>
      <c r="D15" s="39"/>
      <c r="E15" s="39"/>
      <c r="F15" s="39"/>
    </row>
    <row r="16" customFormat="false" ht="15" hidden="false" customHeight="false" outlineLevel="0" collapsed="false">
      <c r="A16" s="39"/>
      <c r="B16" s="39"/>
      <c r="C16" s="39"/>
      <c r="D16" s="39"/>
      <c r="E16" s="39"/>
      <c r="F16" s="39"/>
    </row>
    <row r="17" customFormat="false" ht="15" hidden="false" customHeight="false" outlineLevel="0" collapsed="false">
      <c r="A17" s="39"/>
      <c r="B17" s="39"/>
      <c r="C17" s="39"/>
      <c r="D17" s="39"/>
      <c r="E17" s="39"/>
      <c r="F17" s="39"/>
    </row>
    <row r="18" customFormat="false" ht="15" hidden="false" customHeight="false" outlineLevel="0" collapsed="false">
      <c r="A18" s="39"/>
      <c r="B18" s="39"/>
      <c r="C18" s="39"/>
      <c r="D18" s="39"/>
      <c r="E18" s="39"/>
      <c r="F18" s="39"/>
    </row>
    <row r="19" customFormat="false" ht="15" hidden="false" customHeight="false" outlineLevel="0" collapsed="false">
      <c r="A19" s="39"/>
      <c r="B19" s="39"/>
      <c r="C19" s="39"/>
      <c r="D19" s="39"/>
      <c r="E19" s="39"/>
      <c r="F19" s="39"/>
    </row>
    <row r="20" customFormat="false" ht="15" hidden="false" customHeight="false" outlineLevel="0" collapsed="false">
      <c r="A20" s="39"/>
      <c r="B20" s="39"/>
      <c r="C20" s="39"/>
      <c r="D20" s="39"/>
      <c r="E20" s="39"/>
      <c r="F20" s="39"/>
    </row>
    <row r="21" customFormat="false" ht="15" hidden="false" customHeight="false" outlineLevel="0" collapsed="false">
      <c r="A21" s="39"/>
      <c r="B21" s="39"/>
      <c r="C21" s="39"/>
      <c r="D21" s="39"/>
      <c r="E21" s="39"/>
      <c r="F21" s="39"/>
    </row>
    <row r="22" customFormat="false" ht="15" hidden="false" customHeight="false" outlineLevel="0" collapsed="false">
      <c r="A22" s="39"/>
      <c r="B22" s="39"/>
      <c r="C22" s="39"/>
      <c r="D22" s="39"/>
      <c r="E22" s="39"/>
      <c r="F22" s="39"/>
    </row>
    <row r="23" customFormat="false" ht="15" hidden="false" customHeight="false" outlineLevel="0" collapsed="false">
      <c r="A23" s="39"/>
      <c r="B23" s="39"/>
      <c r="C23" s="39"/>
      <c r="D23" s="39"/>
      <c r="E23" s="39"/>
      <c r="F23" s="39"/>
    </row>
    <row r="24" customFormat="false" ht="15" hidden="false" customHeight="false" outlineLevel="0" collapsed="false">
      <c r="A24" s="39"/>
      <c r="B24" s="39"/>
      <c r="C24" s="39"/>
      <c r="D24" s="39"/>
      <c r="E24" s="39"/>
      <c r="F24" s="39"/>
    </row>
    <row r="25" customFormat="false" ht="15" hidden="false" customHeight="false" outlineLevel="0" collapsed="false">
      <c r="A25" s="39"/>
      <c r="B25" s="39"/>
      <c r="C25" s="39"/>
      <c r="D25" s="39"/>
      <c r="E25" s="39"/>
      <c r="F25" s="39"/>
    </row>
    <row r="26" customFormat="false" ht="15" hidden="false" customHeight="false" outlineLevel="0" collapsed="false">
      <c r="A26" s="39"/>
      <c r="B26" s="39"/>
      <c r="C26" s="39"/>
      <c r="D26" s="39"/>
      <c r="E26" s="39"/>
      <c r="F26" s="39"/>
    </row>
    <row r="27" customFormat="false" ht="15" hidden="false" customHeight="false" outlineLevel="0" collapsed="false">
      <c r="A27" s="39"/>
      <c r="B27" s="39"/>
      <c r="C27" s="39"/>
      <c r="D27" s="39"/>
      <c r="E27" s="39"/>
      <c r="F27" s="39"/>
    </row>
    <row r="28" customFormat="false" ht="15" hidden="false" customHeight="false" outlineLevel="0" collapsed="false">
      <c r="A28" s="39"/>
      <c r="B28" s="39"/>
      <c r="C28" s="39"/>
      <c r="D28" s="39"/>
      <c r="E28" s="39"/>
      <c r="F28" s="39"/>
    </row>
    <row r="29" customFormat="false" ht="15" hidden="false" customHeight="false" outlineLevel="0" collapsed="false">
      <c r="A29" s="39"/>
      <c r="B29" s="39"/>
      <c r="C29" s="39"/>
      <c r="D29" s="39"/>
      <c r="E29" s="39"/>
      <c r="F29" s="39"/>
    </row>
    <row r="30" customFormat="false" ht="15" hidden="false" customHeight="false" outlineLevel="0" collapsed="false">
      <c r="A30" s="39"/>
      <c r="B30" s="39"/>
      <c r="C30" s="39"/>
      <c r="D30" s="39"/>
      <c r="E30" s="39"/>
      <c r="F30" s="39"/>
    </row>
    <row r="31" customFormat="false" ht="15" hidden="false" customHeight="false" outlineLevel="0" collapsed="false">
      <c r="A31" s="39"/>
      <c r="B31" s="39"/>
      <c r="C31" s="39"/>
      <c r="D31" s="39"/>
      <c r="E31" s="39"/>
      <c r="F31" s="39"/>
    </row>
    <row r="32" customFormat="false" ht="15" hidden="false" customHeight="false" outlineLevel="0" collapsed="false">
      <c r="A32" s="39"/>
      <c r="B32" s="39"/>
      <c r="C32" s="39"/>
      <c r="D32" s="39"/>
      <c r="E32" s="39"/>
      <c r="F32" s="39"/>
    </row>
    <row r="33" customFormat="false" ht="15" hidden="false" customHeight="false" outlineLevel="0" collapsed="false">
      <c r="A33" s="39"/>
      <c r="B33" s="39"/>
      <c r="C33" s="39"/>
      <c r="D33" s="39"/>
      <c r="E33" s="39"/>
      <c r="F33" s="39"/>
    </row>
    <row r="34" customFormat="false" ht="15" hidden="false" customHeight="false" outlineLevel="0" collapsed="false">
      <c r="A34" s="39"/>
      <c r="B34" s="39"/>
      <c r="C34" s="39"/>
      <c r="D34" s="39"/>
      <c r="E34" s="39"/>
      <c r="F34" s="39"/>
    </row>
    <row r="35" customFormat="false" ht="15" hidden="false" customHeight="false" outlineLevel="0" collapsed="false">
      <c r="A35" s="39"/>
      <c r="B35" s="39"/>
      <c r="C35" s="39"/>
      <c r="D35" s="39"/>
      <c r="E35" s="39"/>
      <c r="F35" s="39"/>
    </row>
    <row r="36" customFormat="false" ht="15" hidden="false" customHeight="false" outlineLevel="0" collapsed="false">
      <c r="A36" s="39"/>
      <c r="B36" s="39"/>
      <c r="C36" s="39"/>
      <c r="D36" s="39"/>
      <c r="E36" s="39"/>
      <c r="F36" s="39"/>
    </row>
    <row r="37" customFormat="false" ht="15" hidden="false" customHeight="false" outlineLevel="0" collapsed="false">
      <c r="A37" s="39"/>
      <c r="B37" s="39"/>
      <c r="C37" s="39"/>
      <c r="D37" s="39"/>
      <c r="E37" s="39"/>
      <c r="F37" s="39"/>
    </row>
    <row r="38" customFormat="false" ht="15" hidden="false" customHeight="false" outlineLevel="0" collapsed="false">
      <c r="A38" s="39"/>
      <c r="B38" s="39"/>
      <c r="C38" s="39"/>
      <c r="D38" s="39"/>
      <c r="E38" s="39"/>
      <c r="F38" s="39"/>
    </row>
    <row r="39" customFormat="false" ht="15" hidden="false" customHeight="false" outlineLevel="0" collapsed="false">
      <c r="A39" s="39"/>
      <c r="B39" s="39"/>
      <c r="C39" s="39"/>
      <c r="D39" s="39"/>
      <c r="E39" s="39"/>
      <c r="F39" s="39"/>
    </row>
    <row r="40" customFormat="false" ht="15" hidden="false" customHeight="false" outlineLevel="0" collapsed="false">
      <c r="A40" s="39"/>
      <c r="B40" s="39"/>
      <c r="C40" s="39"/>
      <c r="D40" s="39"/>
      <c r="E40" s="39"/>
      <c r="F40" s="39"/>
    </row>
    <row r="41" customFormat="false" ht="15" hidden="false" customHeight="false" outlineLevel="0" collapsed="false">
      <c r="A41" s="39"/>
      <c r="B41" s="39"/>
      <c r="C41" s="39"/>
      <c r="D41" s="39"/>
      <c r="E41" s="39"/>
      <c r="F41" s="39"/>
    </row>
    <row r="42" customFormat="false" ht="15" hidden="false" customHeight="false" outlineLevel="0" collapsed="false">
      <c r="A42" s="39"/>
      <c r="B42" s="39"/>
      <c r="C42" s="39"/>
      <c r="D42" s="39"/>
      <c r="E42" s="39"/>
      <c r="F42" s="39"/>
    </row>
    <row r="43" customFormat="false" ht="15" hidden="false" customHeight="false" outlineLevel="0" collapsed="false">
      <c r="A43" s="39"/>
      <c r="B43" s="39"/>
      <c r="C43" s="39"/>
      <c r="D43" s="39"/>
      <c r="E43" s="39"/>
      <c r="F43" s="39"/>
    </row>
    <row r="45" customFormat="false" ht="25.5" hidden="false" customHeight="true" outlineLevel="0" collapsed="false">
      <c r="A45" s="54" t="s">
        <v>274</v>
      </c>
      <c r="B45" s="54"/>
      <c r="C45" s="54"/>
      <c r="D45" s="54"/>
      <c r="E45" s="54"/>
      <c r="F45" s="54"/>
    </row>
  </sheetData>
  <autoFilter ref="A3:F43"/>
  <mergeCells count="2">
    <mergeCell ref="A1:F1"/>
    <mergeCell ref="A45:F45"/>
  </mergeCells>
  <conditionalFormatting sqref="C4:C43">
    <cfRule type="expression" priority="2" aboveAverage="0" equalAverage="0" bottom="0" percent="0" rank="0" text="" dxfId="4">
      <formula>AND($A4&lt;&gt;"",$C4&lt;$B4)</formula>
    </cfRule>
  </conditionalFormatting>
  <conditionalFormatting sqref="E4:E43">
    <cfRule type="cellIs" priority="3" operator="equal" aboveAverage="0" equalAverage="0" bottom="0" percent="0" rank="0" text="" dxfId="20">
      <formula>"Not Ordered"</formula>
    </cfRule>
    <cfRule type="cellIs" priority="4" operator="equal" aboveAverage="0" equalAverage="0" bottom="0" percent="0" rank="0" text="" dxfId="9">
      <formula>"Ordered"</formula>
    </cfRule>
    <cfRule type="cellIs" priority="5" operator="equal" aboveAverage="0" equalAverage="0" bottom="0" percent="0" rank="0" text="" dxfId="21">
      <formula>"In Hand"</formula>
    </cfRule>
    <cfRule type="cellIs" priority="6" operator="equal" aboveAverage="0" equalAverage="0" bottom="0" percent="0" rank="0" text="" dxfId="10">
      <formula>"Distributed"</formula>
    </cfRule>
  </conditionalFormatting>
  <dataValidations count="2">
    <dataValidation allowBlank="true" error="Please choose from the list." errorStyle="stop" errorTitle="Invalid entry" operator="between" showDropDown="false" showErrorMessage="false" showInputMessage="false" sqref="D4:D43" type="list">
      <formula1>List_FamilyMembers</formula1>
      <formula2>0</formula2>
    </dataValidation>
    <dataValidation allowBlank="true" error="Please choose from the list." errorStyle="stop" errorTitle="Invalid entry" operator="between" showDropDown="false" showErrorMessage="false" showInputMessage="false" sqref="E4:E43" type="list">
      <formula1>List_InventoryStatus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A3771"/>
    <pageSetUpPr fitToPage="false"/>
  </sheetPr>
  <dimension ref="A1:E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28"/>
  </cols>
  <sheetData>
    <row r="1" customFormat="false" ht="27.75" hidden="false" customHeight="true" outlineLevel="0" collapsed="false">
      <c r="A1" s="31" t="s">
        <v>275</v>
      </c>
      <c r="B1" s="31"/>
      <c r="C1" s="31"/>
      <c r="D1" s="31"/>
      <c r="E1" s="31"/>
    </row>
    <row r="3" customFormat="false" ht="15" hidden="false" customHeight="false" outlineLevel="0" collapsed="false">
      <c r="A3" s="37" t="s">
        <v>227</v>
      </c>
      <c r="B3" s="37"/>
      <c r="C3" s="37"/>
      <c r="D3" s="37"/>
      <c r="E3" s="37"/>
    </row>
    <row r="4" customFormat="false" ht="15.75" hidden="false" customHeight="true" outlineLevel="0" collapsed="false">
      <c r="A4" s="58" t="s">
        <v>276</v>
      </c>
      <c r="B4" s="58"/>
      <c r="C4" s="58" t="s">
        <v>277</v>
      </c>
      <c r="D4" s="58"/>
    </row>
    <row r="5" customFormat="false" ht="24" hidden="false" customHeight="true" outlineLevel="0" collapsed="false">
      <c r="A5" s="59" t="n">
        <f aca="false">COUNTA('👨‍👩‍👧‍👦 Guests'!$B$7:$B$66)</f>
        <v>1</v>
      </c>
      <c r="B5" s="59"/>
      <c r="C5" s="59" t="n">
        <f aca="false">COUNTA(A7:A46)</f>
        <v>1</v>
      </c>
      <c r="D5" s="59"/>
    </row>
    <row r="6" customFormat="false" ht="30" hidden="false" customHeight="true" outlineLevel="0" collapsed="false">
      <c r="A6" s="42" t="s">
        <v>233</v>
      </c>
      <c r="B6" s="42" t="s">
        <v>278</v>
      </c>
      <c r="C6" s="42" t="s">
        <v>187</v>
      </c>
      <c r="D6" s="42" t="s">
        <v>258</v>
      </c>
      <c r="E6" s="42" t="s">
        <v>192</v>
      </c>
    </row>
    <row r="7" customFormat="false" ht="15" hidden="false" customHeight="false" outlineLevel="0" collapsed="false">
      <c r="A7" s="43" t="s">
        <v>237</v>
      </c>
      <c r="B7" s="43" t="s">
        <v>279</v>
      </c>
      <c r="C7" s="43" t="s">
        <v>280</v>
      </c>
      <c r="D7" s="43" t="s">
        <v>112</v>
      </c>
      <c r="E7" s="43" t="s">
        <v>281</v>
      </c>
    </row>
    <row r="8" customFormat="false" ht="15" hidden="false" customHeight="false" outlineLevel="0" collapsed="false">
      <c r="A8" s="39"/>
      <c r="B8" s="39"/>
      <c r="C8" s="39"/>
      <c r="D8" s="39"/>
      <c r="E8" s="39"/>
    </row>
    <row r="9" customFormat="false" ht="15" hidden="false" customHeight="false" outlineLevel="0" collapsed="false">
      <c r="A9" s="39"/>
      <c r="B9" s="39"/>
      <c r="C9" s="39"/>
      <c r="D9" s="39"/>
      <c r="E9" s="39"/>
    </row>
    <row r="10" customFormat="false" ht="15" hidden="false" customHeight="false" outlineLevel="0" collapsed="false">
      <c r="A10" s="39"/>
      <c r="B10" s="39"/>
      <c r="C10" s="39"/>
      <c r="D10" s="39"/>
      <c r="E10" s="39"/>
    </row>
    <row r="11" customFormat="false" ht="15" hidden="false" customHeight="false" outlineLevel="0" collapsed="false">
      <c r="A11" s="39"/>
      <c r="B11" s="39"/>
      <c r="C11" s="39"/>
      <c r="D11" s="39"/>
      <c r="E11" s="39"/>
    </row>
    <row r="12" customFormat="false" ht="15" hidden="false" customHeight="false" outlineLevel="0" collapsed="false">
      <c r="A12" s="39"/>
      <c r="B12" s="39"/>
      <c r="C12" s="39"/>
      <c r="D12" s="39"/>
      <c r="E12" s="39"/>
    </row>
    <row r="13" customFormat="false" ht="15" hidden="false" customHeight="false" outlineLevel="0" collapsed="false">
      <c r="A13" s="39"/>
      <c r="B13" s="39"/>
      <c r="C13" s="39"/>
      <c r="D13" s="39"/>
      <c r="E13" s="39"/>
    </row>
    <row r="14" customFormat="false" ht="15" hidden="false" customHeight="false" outlineLevel="0" collapsed="false">
      <c r="A14" s="39"/>
      <c r="B14" s="39"/>
      <c r="C14" s="39"/>
      <c r="D14" s="39"/>
      <c r="E14" s="39"/>
    </row>
    <row r="15" customFormat="false" ht="15" hidden="false" customHeight="false" outlineLevel="0" collapsed="false">
      <c r="A15" s="39"/>
      <c r="B15" s="39"/>
      <c r="C15" s="39"/>
      <c r="D15" s="39"/>
      <c r="E15" s="39"/>
    </row>
    <row r="16" customFormat="false" ht="15" hidden="false" customHeight="false" outlineLevel="0" collapsed="false">
      <c r="A16" s="39"/>
      <c r="B16" s="39"/>
      <c r="C16" s="39"/>
      <c r="D16" s="39"/>
      <c r="E16" s="39"/>
    </row>
    <row r="17" customFormat="false" ht="15" hidden="false" customHeight="false" outlineLevel="0" collapsed="false">
      <c r="A17" s="39"/>
      <c r="B17" s="39"/>
      <c r="C17" s="39"/>
      <c r="D17" s="39"/>
      <c r="E17" s="39"/>
    </row>
    <row r="18" customFormat="false" ht="15" hidden="false" customHeight="false" outlineLevel="0" collapsed="false">
      <c r="A18" s="39"/>
      <c r="B18" s="39"/>
      <c r="C18" s="39"/>
      <c r="D18" s="39"/>
      <c r="E18" s="39"/>
    </row>
    <row r="19" customFormat="false" ht="15" hidden="false" customHeight="false" outlineLevel="0" collapsed="false">
      <c r="A19" s="39"/>
      <c r="B19" s="39"/>
      <c r="C19" s="39"/>
      <c r="D19" s="39"/>
      <c r="E19" s="39"/>
    </row>
    <row r="20" customFormat="false" ht="15" hidden="false" customHeight="false" outlineLevel="0" collapsed="false">
      <c r="A20" s="39"/>
      <c r="B20" s="39"/>
      <c r="C20" s="39"/>
      <c r="D20" s="39"/>
      <c r="E20" s="39"/>
    </row>
    <row r="21" customFormat="false" ht="15" hidden="false" customHeight="false" outlineLevel="0" collapsed="false">
      <c r="A21" s="39"/>
      <c r="B21" s="39"/>
      <c r="C21" s="39"/>
      <c r="D21" s="39"/>
      <c r="E21" s="39"/>
    </row>
    <row r="22" customFormat="false" ht="15" hidden="false" customHeight="false" outlineLevel="0" collapsed="false">
      <c r="A22" s="39"/>
      <c r="B22" s="39"/>
      <c r="C22" s="39"/>
      <c r="D22" s="39"/>
      <c r="E22" s="39"/>
    </row>
    <row r="23" customFormat="false" ht="15" hidden="false" customHeight="false" outlineLevel="0" collapsed="false">
      <c r="A23" s="39"/>
      <c r="B23" s="39"/>
      <c r="C23" s="39"/>
      <c r="D23" s="39"/>
      <c r="E23" s="39"/>
    </row>
    <row r="24" customFormat="false" ht="15" hidden="false" customHeight="false" outlineLevel="0" collapsed="false">
      <c r="A24" s="39"/>
      <c r="B24" s="39"/>
      <c r="C24" s="39"/>
      <c r="D24" s="39"/>
      <c r="E24" s="39"/>
    </row>
    <row r="25" customFormat="false" ht="15" hidden="false" customHeight="false" outlineLevel="0" collapsed="false">
      <c r="A25" s="39"/>
      <c r="B25" s="39"/>
      <c r="C25" s="39"/>
      <c r="D25" s="39"/>
      <c r="E25" s="39"/>
    </row>
    <row r="26" customFormat="false" ht="15" hidden="false" customHeight="false" outlineLevel="0" collapsed="false">
      <c r="A26" s="39"/>
      <c r="B26" s="39"/>
      <c r="C26" s="39"/>
      <c r="D26" s="39"/>
      <c r="E26" s="39"/>
    </row>
    <row r="27" customFormat="false" ht="15" hidden="false" customHeight="false" outlineLevel="0" collapsed="false">
      <c r="A27" s="39"/>
      <c r="B27" s="39"/>
      <c r="C27" s="39"/>
      <c r="D27" s="39"/>
      <c r="E27" s="39"/>
    </row>
    <row r="28" customFormat="false" ht="15" hidden="false" customHeight="false" outlineLevel="0" collapsed="false">
      <c r="A28" s="39"/>
      <c r="B28" s="39"/>
      <c r="C28" s="39"/>
      <c r="D28" s="39"/>
      <c r="E28" s="39"/>
    </row>
    <row r="29" customFormat="false" ht="15" hidden="false" customHeight="false" outlineLevel="0" collapsed="false">
      <c r="A29" s="39"/>
      <c r="B29" s="39"/>
      <c r="C29" s="39"/>
      <c r="D29" s="39"/>
      <c r="E29" s="39"/>
    </row>
    <row r="30" customFormat="false" ht="15" hidden="false" customHeight="false" outlineLevel="0" collapsed="false">
      <c r="A30" s="39"/>
      <c r="B30" s="39"/>
      <c r="C30" s="39"/>
      <c r="D30" s="39"/>
      <c r="E30" s="39"/>
    </row>
    <row r="31" customFormat="false" ht="15" hidden="false" customHeight="false" outlineLevel="0" collapsed="false">
      <c r="A31" s="39"/>
      <c r="B31" s="39"/>
      <c r="C31" s="39"/>
      <c r="D31" s="39"/>
      <c r="E31" s="39"/>
    </row>
    <row r="32" customFormat="false" ht="15" hidden="false" customHeight="false" outlineLevel="0" collapsed="false">
      <c r="A32" s="39"/>
      <c r="B32" s="39"/>
      <c r="C32" s="39"/>
      <c r="D32" s="39"/>
      <c r="E32" s="39"/>
    </row>
    <row r="33" customFormat="false" ht="15" hidden="false" customHeight="false" outlineLevel="0" collapsed="false">
      <c r="A33" s="39"/>
      <c r="B33" s="39"/>
      <c r="C33" s="39"/>
      <c r="D33" s="39"/>
      <c r="E33" s="39"/>
    </row>
    <row r="34" customFormat="false" ht="15" hidden="false" customHeight="false" outlineLevel="0" collapsed="false">
      <c r="A34" s="39"/>
      <c r="B34" s="39"/>
      <c r="C34" s="39"/>
      <c r="D34" s="39"/>
      <c r="E34" s="39"/>
    </row>
    <row r="35" customFormat="false" ht="15" hidden="false" customHeight="false" outlineLevel="0" collapsed="false">
      <c r="A35" s="39"/>
      <c r="B35" s="39"/>
      <c r="C35" s="39"/>
      <c r="D35" s="39"/>
      <c r="E35" s="39"/>
    </row>
    <row r="36" customFormat="false" ht="15" hidden="false" customHeight="false" outlineLevel="0" collapsed="false">
      <c r="A36" s="39"/>
      <c r="B36" s="39"/>
      <c r="C36" s="39"/>
      <c r="D36" s="39"/>
      <c r="E36" s="39"/>
    </row>
    <row r="37" customFormat="false" ht="15" hidden="false" customHeight="false" outlineLevel="0" collapsed="false">
      <c r="A37" s="39"/>
      <c r="B37" s="39"/>
      <c r="C37" s="39"/>
      <c r="D37" s="39"/>
      <c r="E37" s="39"/>
    </row>
    <row r="38" customFormat="false" ht="15" hidden="false" customHeight="false" outlineLevel="0" collapsed="false">
      <c r="A38" s="39"/>
      <c r="B38" s="39"/>
      <c r="C38" s="39"/>
      <c r="D38" s="39"/>
      <c r="E38" s="39"/>
    </row>
    <row r="39" customFormat="false" ht="15" hidden="false" customHeight="false" outlineLevel="0" collapsed="false">
      <c r="A39" s="39"/>
      <c r="B39" s="39"/>
      <c r="C39" s="39"/>
      <c r="D39" s="39"/>
      <c r="E39" s="39"/>
    </row>
    <row r="40" customFormat="false" ht="15" hidden="false" customHeight="false" outlineLevel="0" collapsed="false">
      <c r="A40" s="39"/>
      <c r="B40" s="39"/>
      <c r="C40" s="39"/>
      <c r="D40" s="39"/>
      <c r="E40" s="39"/>
    </row>
    <row r="41" customFormat="false" ht="15" hidden="false" customHeight="false" outlineLevel="0" collapsed="false">
      <c r="A41" s="39"/>
      <c r="B41" s="39"/>
      <c r="C41" s="39"/>
      <c r="D41" s="39"/>
      <c r="E41" s="39"/>
    </row>
    <row r="42" customFormat="false" ht="15" hidden="false" customHeight="false" outlineLevel="0" collapsed="false">
      <c r="A42" s="39"/>
      <c r="B42" s="39"/>
      <c r="C42" s="39"/>
      <c r="D42" s="39"/>
      <c r="E42" s="39"/>
    </row>
    <row r="43" customFormat="false" ht="15" hidden="false" customHeight="false" outlineLevel="0" collapsed="false">
      <c r="A43" s="39"/>
      <c r="B43" s="39"/>
      <c r="C43" s="39"/>
      <c r="D43" s="39"/>
      <c r="E43" s="39"/>
    </row>
    <row r="44" customFormat="false" ht="15" hidden="false" customHeight="false" outlineLevel="0" collapsed="false">
      <c r="A44" s="39"/>
      <c r="B44" s="39"/>
      <c r="C44" s="39"/>
      <c r="D44" s="39"/>
      <c r="E44" s="39"/>
    </row>
    <row r="45" customFormat="false" ht="15" hidden="false" customHeight="false" outlineLevel="0" collapsed="false">
      <c r="A45" s="39"/>
      <c r="B45" s="39"/>
      <c r="C45" s="39"/>
      <c r="D45" s="39"/>
      <c r="E45" s="39"/>
    </row>
    <row r="46" customFormat="false" ht="15" hidden="false" customHeight="false" outlineLevel="0" collapsed="false">
      <c r="A46" s="39"/>
      <c r="B46" s="39"/>
      <c r="C46" s="39"/>
      <c r="D46" s="39"/>
      <c r="E46" s="39"/>
    </row>
    <row r="48" customFormat="false" ht="25.5" hidden="false" customHeight="true" outlineLevel="0" collapsed="false">
      <c r="A48" s="54" t="s">
        <v>282</v>
      </c>
      <c r="B48" s="54"/>
      <c r="C48" s="54"/>
      <c r="D48" s="54"/>
      <c r="E48" s="54"/>
    </row>
  </sheetData>
  <autoFilter ref="A6:E46"/>
  <mergeCells count="7">
    <mergeCell ref="A1:E1"/>
    <mergeCell ref="A3:E3"/>
    <mergeCell ref="A4:B4"/>
    <mergeCell ref="C4:D4"/>
    <mergeCell ref="A5:B5"/>
    <mergeCell ref="C5:D5"/>
    <mergeCell ref="A48:E48"/>
  </mergeCells>
  <dataValidations count="2">
    <dataValidation allowBlank="true" error="Please choose from the list." errorStyle="stop" errorTitle="Invalid entry" operator="between" showDropDown="false" showErrorMessage="false" showInputMessage="false" sqref="A7:A46" type="list">
      <formula1>'👨‍👩‍👧‍👦 Guests'!$B$7:$B$66</formula1>
      <formula2>0</formula2>
    </dataValidation>
    <dataValidation allowBlank="true" error="Please choose from the list." errorStyle="stop" errorTitle="Invalid entry" operator="between" showDropDown="false" showErrorMessage="false" showInputMessage="false" sqref="D7:D46" type="list">
      <formula1>List_FamilyMembers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1735"/>
    <pageSetUpPr fitToPage="false"/>
  </sheetPr>
  <dimension ref="A1:M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26"/>
    <col collapsed="false" customWidth="true" hidden="true" outlineLevel="0" max="13" min="12" style="0" width="13"/>
  </cols>
  <sheetData>
    <row r="1" customFormat="false" ht="27.75" hidden="false" customHeight="true" outlineLevel="0" collapsed="false">
      <c r="A1" s="31" t="s">
        <v>283</v>
      </c>
      <c r="B1" s="31"/>
      <c r="C1" s="31"/>
      <c r="D1" s="31"/>
      <c r="E1" s="31"/>
      <c r="F1" s="31"/>
      <c r="G1" s="31"/>
      <c r="H1" s="31"/>
    </row>
    <row r="3" customFormat="false" ht="15" hidden="false" customHeight="false" outlineLevel="0" collapsed="false">
      <c r="A3" s="37" t="s">
        <v>227</v>
      </c>
      <c r="B3" s="37"/>
      <c r="C3" s="37"/>
      <c r="D3" s="37"/>
      <c r="E3" s="37"/>
      <c r="F3" s="37"/>
      <c r="G3" s="37"/>
      <c r="H3" s="37"/>
    </row>
    <row r="4" customFormat="false" ht="15.75" hidden="false" customHeight="true" outlineLevel="0" collapsed="false">
      <c r="A4" s="58" t="s">
        <v>284</v>
      </c>
      <c r="B4" s="58"/>
      <c r="C4" s="58" t="s">
        <v>285</v>
      </c>
      <c r="D4" s="58"/>
      <c r="E4" s="58" t="s">
        <v>286</v>
      </c>
      <c r="F4" s="58"/>
      <c r="G4" s="58" t="s">
        <v>287</v>
      </c>
      <c r="H4" s="58"/>
    </row>
    <row r="5" customFormat="false" ht="24" hidden="false" customHeight="true" outlineLevel="0" collapsed="false">
      <c r="A5" s="59" t="n">
        <f aca="false">COUNTIF(G7:G56,"Not Started")+COUNTIF(G7:G56,"In Progress")</f>
        <v>1</v>
      </c>
      <c r="B5" s="59"/>
      <c r="C5" s="59" t="n">
        <f aca="false">COUNTIF(G7:G56,"Completed")</f>
        <v>0</v>
      </c>
      <c r="D5" s="59"/>
      <c r="E5" s="59" t="n">
        <f aca="true">COUNTIFS(F7:F56,"&lt;"&amp;TODAY(),G7:G56,"&lt;&gt;Completed",A7:A56,"&lt;&gt;")</f>
        <v>0</v>
      </c>
      <c r="F5" s="59"/>
      <c r="G5" s="65" t="n">
        <f aca="false">IFERROR(COUNTIF(G7:G56,"Completed")/COUNTA(A7:A56),0)</f>
        <v>0</v>
      </c>
      <c r="H5" s="65"/>
    </row>
    <row r="6" customFormat="false" ht="30" hidden="false" customHeight="true" outlineLevel="0" collapsed="false">
      <c r="A6" s="42" t="s">
        <v>288</v>
      </c>
      <c r="B6" s="42" t="s">
        <v>208</v>
      </c>
      <c r="C6" s="42" t="s">
        <v>289</v>
      </c>
      <c r="D6" s="42" t="s">
        <v>64</v>
      </c>
      <c r="E6" s="42" t="s">
        <v>290</v>
      </c>
      <c r="F6" s="42" t="s">
        <v>291</v>
      </c>
      <c r="G6" s="42" t="s">
        <v>212</v>
      </c>
      <c r="H6" s="42" t="s">
        <v>292</v>
      </c>
    </row>
    <row r="7" customFormat="false" ht="15" hidden="false" customHeight="false" outlineLevel="0" collapsed="false">
      <c r="A7" s="43" t="s">
        <v>293</v>
      </c>
      <c r="B7" s="43" t="s">
        <v>107</v>
      </c>
      <c r="C7" s="43" t="s">
        <v>96</v>
      </c>
      <c r="D7" s="43" t="s">
        <v>91</v>
      </c>
      <c r="E7" s="44" t="n">
        <v>46239</v>
      </c>
      <c r="F7" s="44" t="n">
        <v>46249</v>
      </c>
      <c r="G7" s="43" t="s">
        <v>19</v>
      </c>
      <c r="H7" s="43" t="s">
        <v>294</v>
      </c>
      <c r="L7" s="61" t="b">
        <f aca="false">IF('🔍 Search'!$B$2="",A7&lt;&gt;"",ISNUMBER(SEARCH('🔍 Search'!$B$2,A7&amp;" "&amp;B7&amp;" "&amp;C7&amp;" "&amp;H7)))</f>
        <v>1</v>
      </c>
      <c r="M7" s="62" t="n">
        <f aca="false">IF(L7,COUNTIF($L$7:L7,TRUE()),"")</f>
        <v>1</v>
      </c>
    </row>
    <row r="8" customFormat="false" ht="15" hidden="false" customHeight="false" outlineLevel="0" collapsed="false">
      <c r="A8" s="39"/>
      <c r="B8" s="39"/>
      <c r="C8" s="39"/>
      <c r="D8" s="39"/>
      <c r="E8" s="40"/>
      <c r="F8" s="40"/>
      <c r="G8" s="39"/>
      <c r="H8" s="39"/>
      <c r="L8" s="61" t="b">
        <f aca="false">IF('🔍 Search'!$B$2="",A8&lt;&gt;"",ISNUMBER(SEARCH('🔍 Search'!$B$2,A8&amp;" "&amp;B8&amp;" "&amp;C8&amp;" "&amp;H8)))</f>
        <v>0</v>
      </c>
      <c r="M8" s="0" t="str">
        <f aca="false">IF(L8,COUNTIF($L$7:L8,TRUE()),"")</f>
        <v/>
      </c>
    </row>
    <row r="9" customFormat="false" ht="15" hidden="false" customHeight="false" outlineLevel="0" collapsed="false">
      <c r="A9" s="39"/>
      <c r="B9" s="39"/>
      <c r="C9" s="39"/>
      <c r="D9" s="39"/>
      <c r="E9" s="40"/>
      <c r="F9" s="40"/>
      <c r="G9" s="39"/>
      <c r="H9" s="39"/>
      <c r="L9" s="61" t="b">
        <f aca="false">IF('🔍 Search'!$B$2="",A9&lt;&gt;"",ISNUMBER(SEARCH('🔍 Search'!$B$2,A9&amp;" "&amp;B9&amp;" "&amp;C9&amp;" "&amp;H9)))</f>
        <v>0</v>
      </c>
      <c r="M9" s="0" t="str">
        <f aca="false">IF(L9,COUNTIF($L$7:L9,TRUE()),"")</f>
        <v/>
      </c>
    </row>
    <row r="10" customFormat="false" ht="15" hidden="false" customHeight="false" outlineLevel="0" collapsed="false">
      <c r="A10" s="39"/>
      <c r="B10" s="39"/>
      <c r="C10" s="39"/>
      <c r="D10" s="39"/>
      <c r="E10" s="40"/>
      <c r="F10" s="40"/>
      <c r="G10" s="39"/>
      <c r="H10" s="39"/>
      <c r="L10" s="61" t="b">
        <f aca="false">IF('🔍 Search'!$B$2="",A10&lt;&gt;"",ISNUMBER(SEARCH('🔍 Search'!$B$2,A10&amp;" "&amp;B10&amp;" "&amp;C10&amp;" "&amp;H10)))</f>
        <v>0</v>
      </c>
      <c r="M10" s="0" t="str">
        <f aca="false">IF(L10,COUNTIF($L$7:L10,TRUE()),"")</f>
        <v/>
      </c>
    </row>
    <row r="11" customFormat="false" ht="15" hidden="false" customHeight="false" outlineLevel="0" collapsed="false">
      <c r="A11" s="39"/>
      <c r="B11" s="39"/>
      <c r="C11" s="39"/>
      <c r="D11" s="39"/>
      <c r="E11" s="40"/>
      <c r="F11" s="40"/>
      <c r="G11" s="39"/>
      <c r="H11" s="39"/>
      <c r="L11" s="61" t="b">
        <f aca="false">IF('🔍 Search'!$B$2="",A11&lt;&gt;"",ISNUMBER(SEARCH('🔍 Search'!$B$2,A11&amp;" "&amp;B11&amp;" "&amp;C11&amp;" "&amp;H11)))</f>
        <v>0</v>
      </c>
      <c r="M11" s="0" t="str">
        <f aca="false">IF(L11,COUNTIF($L$7:L11,TRUE()),"")</f>
        <v/>
      </c>
    </row>
    <row r="12" customFormat="false" ht="15" hidden="false" customHeight="false" outlineLevel="0" collapsed="false">
      <c r="A12" s="39"/>
      <c r="B12" s="39"/>
      <c r="C12" s="39"/>
      <c r="D12" s="39"/>
      <c r="E12" s="40"/>
      <c r="F12" s="40"/>
      <c r="G12" s="39"/>
      <c r="H12" s="39"/>
      <c r="L12" s="61" t="b">
        <f aca="false">IF('🔍 Search'!$B$2="",A12&lt;&gt;"",ISNUMBER(SEARCH('🔍 Search'!$B$2,A12&amp;" "&amp;B12&amp;" "&amp;C12&amp;" "&amp;H12)))</f>
        <v>0</v>
      </c>
      <c r="M12" s="0" t="str">
        <f aca="false">IF(L12,COUNTIF($L$7:L12,TRUE()),"")</f>
        <v/>
      </c>
    </row>
    <row r="13" customFormat="false" ht="15" hidden="false" customHeight="false" outlineLevel="0" collapsed="false">
      <c r="A13" s="39"/>
      <c r="B13" s="39"/>
      <c r="C13" s="39"/>
      <c r="D13" s="39"/>
      <c r="E13" s="40"/>
      <c r="F13" s="40"/>
      <c r="G13" s="39"/>
      <c r="H13" s="39"/>
      <c r="L13" s="61" t="b">
        <f aca="false">IF('🔍 Search'!$B$2="",A13&lt;&gt;"",ISNUMBER(SEARCH('🔍 Search'!$B$2,A13&amp;" "&amp;B13&amp;" "&amp;C13&amp;" "&amp;H13)))</f>
        <v>0</v>
      </c>
      <c r="M13" s="0" t="str">
        <f aca="false">IF(L13,COUNTIF($L$7:L13,TRUE()),"")</f>
        <v/>
      </c>
    </row>
    <row r="14" customFormat="false" ht="15" hidden="false" customHeight="false" outlineLevel="0" collapsed="false">
      <c r="A14" s="39"/>
      <c r="B14" s="39"/>
      <c r="C14" s="39"/>
      <c r="D14" s="39"/>
      <c r="E14" s="40"/>
      <c r="F14" s="40"/>
      <c r="G14" s="39"/>
      <c r="H14" s="39"/>
      <c r="L14" s="61" t="b">
        <f aca="false">IF('🔍 Search'!$B$2="",A14&lt;&gt;"",ISNUMBER(SEARCH('🔍 Search'!$B$2,A14&amp;" "&amp;B14&amp;" "&amp;C14&amp;" "&amp;H14)))</f>
        <v>0</v>
      </c>
      <c r="M14" s="0" t="str">
        <f aca="false">IF(L14,COUNTIF($L$7:L14,TRUE()),"")</f>
        <v/>
      </c>
    </row>
    <row r="15" customFormat="false" ht="15" hidden="false" customHeight="false" outlineLevel="0" collapsed="false">
      <c r="A15" s="39"/>
      <c r="B15" s="39"/>
      <c r="C15" s="39"/>
      <c r="D15" s="39"/>
      <c r="E15" s="40"/>
      <c r="F15" s="40"/>
      <c r="G15" s="39"/>
      <c r="H15" s="39"/>
      <c r="L15" s="61" t="b">
        <f aca="false">IF('🔍 Search'!$B$2="",A15&lt;&gt;"",ISNUMBER(SEARCH('🔍 Search'!$B$2,A15&amp;" "&amp;B15&amp;" "&amp;C15&amp;" "&amp;H15)))</f>
        <v>0</v>
      </c>
      <c r="M15" s="0" t="str">
        <f aca="false">IF(L15,COUNTIF($L$7:L15,TRUE()),"")</f>
        <v/>
      </c>
    </row>
    <row r="16" customFormat="false" ht="15" hidden="false" customHeight="false" outlineLevel="0" collapsed="false">
      <c r="A16" s="39"/>
      <c r="B16" s="39"/>
      <c r="C16" s="39"/>
      <c r="D16" s="39"/>
      <c r="E16" s="40"/>
      <c r="F16" s="40"/>
      <c r="G16" s="39"/>
      <c r="H16" s="39"/>
      <c r="L16" s="61" t="b">
        <f aca="false">IF('🔍 Search'!$B$2="",A16&lt;&gt;"",ISNUMBER(SEARCH('🔍 Search'!$B$2,A16&amp;" "&amp;B16&amp;" "&amp;C16&amp;" "&amp;H16)))</f>
        <v>0</v>
      </c>
      <c r="M16" s="0" t="str">
        <f aca="false">IF(L16,COUNTIF($L$7:L16,TRUE()),"")</f>
        <v/>
      </c>
    </row>
    <row r="17" customFormat="false" ht="15" hidden="false" customHeight="false" outlineLevel="0" collapsed="false">
      <c r="A17" s="39"/>
      <c r="B17" s="39"/>
      <c r="C17" s="39"/>
      <c r="D17" s="39"/>
      <c r="E17" s="40"/>
      <c r="F17" s="40"/>
      <c r="G17" s="39"/>
      <c r="H17" s="39"/>
      <c r="L17" s="61" t="b">
        <f aca="false">IF('🔍 Search'!$B$2="",A17&lt;&gt;"",ISNUMBER(SEARCH('🔍 Search'!$B$2,A17&amp;" "&amp;B17&amp;" "&amp;C17&amp;" "&amp;H17)))</f>
        <v>0</v>
      </c>
      <c r="M17" s="0" t="str">
        <f aca="false">IF(L17,COUNTIF($L$7:L17,TRUE()),"")</f>
        <v/>
      </c>
    </row>
    <row r="18" customFormat="false" ht="15" hidden="false" customHeight="false" outlineLevel="0" collapsed="false">
      <c r="A18" s="39"/>
      <c r="B18" s="39"/>
      <c r="C18" s="39"/>
      <c r="D18" s="39"/>
      <c r="E18" s="40"/>
      <c r="F18" s="40"/>
      <c r="G18" s="39"/>
      <c r="H18" s="39"/>
      <c r="L18" s="61" t="b">
        <f aca="false">IF('🔍 Search'!$B$2="",A18&lt;&gt;"",ISNUMBER(SEARCH('🔍 Search'!$B$2,A18&amp;" "&amp;B18&amp;" "&amp;C18&amp;" "&amp;H18)))</f>
        <v>0</v>
      </c>
      <c r="M18" s="0" t="str">
        <f aca="false">IF(L18,COUNTIF($L$7:L18,TRUE()),"")</f>
        <v/>
      </c>
    </row>
    <row r="19" customFormat="false" ht="15" hidden="false" customHeight="false" outlineLevel="0" collapsed="false">
      <c r="A19" s="39"/>
      <c r="B19" s="39"/>
      <c r="C19" s="39"/>
      <c r="D19" s="39"/>
      <c r="E19" s="40"/>
      <c r="F19" s="40"/>
      <c r="G19" s="39"/>
      <c r="H19" s="39"/>
      <c r="L19" s="61" t="b">
        <f aca="false">IF('🔍 Search'!$B$2="",A19&lt;&gt;"",ISNUMBER(SEARCH('🔍 Search'!$B$2,A19&amp;" "&amp;B19&amp;" "&amp;C19&amp;" "&amp;H19)))</f>
        <v>0</v>
      </c>
      <c r="M19" s="0" t="str">
        <f aca="false">IF(L19,COUNTIF($L$7:L19,TRUE()),"")</f>
        <v/>
      </c>
    </row>
    <row r="20" customFormat="false" ht="15" hidden="false" customHeight="false" outlineLevel="0" collapsed="false">
      <c r="A20" s="39"/>
      <c r="B20" s="39"/>
      <c r="C20" s="39"/>
      <c r="D20" s="39"/>
      <c r="E20" s="40"/>
      <c r="F20" s="40"/>
      <c r="G20" s="39"/>
      <c r="H20" s="39"/>
      <c r="L20" s="61" t="b">
        <f aca="false">IF('🔍 Search'!$B$2="",A20&lt;&gt;"",ISNUMBER(SEARCH('🔍 Search'!$B$2,A20&amp;" "&amp;B20&amp;" "&amp;C20&amp;" "&amp;H20)))</f>
        <v>0</v>
      </c>
      <c r="M20" s="0" t="str">
        <f aca="false">IF(L20,COUNTIF($L$7:L20,TRUE()),"")</f>
        <v/>
      </c>
    </row>
    <row r="21" customFormat="false" ht="15" hidden="false" customHeight="false" outlineLevel="0" collapsed="false">
      <c r="A21" s="39"/>
      <c r="B21" s="39"/>
      <c r="C21" s="39"/>
      <c r="D21" s="39"/>
      <c r="E21" s="40"/>
      <c r="F21" s="40"/>
      <c r="G21" s="39"/>
      <c r="H21" s="39"/>
      <c r="L21" s="61" t="b">
        <f aca="false">IF('🔍 Search'!$B$2="",A21&lt;&gt;"",ISNUMBER(SEARCH('🔍 Search'!$B$2,A21&amp;" "&amp;B21&amp;" "&amp;C21&amp;" "&amp;H21)))</f>
        <v>0</v>
      </c>
      <c r="M21" s="0" t="str">
        <f aca="false">IF(L21,COUNTIF($L$7:L21,TRUE()),"")</f>
        <v/>
      </c>
    </row>
    <row r="22" customFormat="false" ht="15" hidden="false" customHeight="false" outlineLevel="0" collapsed="false">
      <c r="A22" s="39"/>
      <c r="B22" s="39"/>
      <c r="C22" s="39"/>
      <c r="D22" s="39"/>
      <c r="E22" s="40"/>
      <c r="F22" s="40"/>
      <c r="G22" s="39"/>
      <c r="H22" s="39"/>
      <c r="L22" s="61" t="b">
        <f aca="false">IF('🔍 Search'!$B$2="",A22&lt;&gt;"",ISNUMBER(SEARCH('🔍 Search'!$B$2,A22&amp;" "&amp;B22&amp;" "&amp;C22&amp;" "&amp;H22)))</f>
        <v>0</v>
      </c>
      <c r="M22" s="0" t="str">
        <f aca="false">IF(L22,COUNTIF($L$7:L22,TRUE()),"")</f>
        <v/>
      </c>
    </row>
    <row r="23" customFormat="false" ht="15" hidden="false" customHeight="false" outlineLevel="0" collapsed="false">
      <c r="A23" s="39"/>
      <c r="B23" s="39"/>
      <c r="C23" s="39"/>
      <c r="D23" s="39"/>
      <c r="E23" s="40"/>
      <c r="F23" s="40"/>
      <c r="G23" s="39"/>
      <c r="H23" s="39"/>
      <c r="L23" s="61" t="b">
        <f aca="false">IF('🔍 Search'!$B$2="",A23&lt;&gt;"",ISNUMBER(SEARCH('🔍 Search'!$B$2,A23&amp;" "&amp;B23&amp;" "&amp;C23&amp;" "&amp;H23)))</f>
        <v>0</v>
      </c>
      <c r="M23" s="0" t="str">
        <f aca="false">IF(L23,COUNTIF($L$7:L23,TRUE()),"")</f>
        <v/>
      </c>
    </row>
    <row r="24" customFormat="false" ht="15" hidden="false" customHeight="false" outlineLevel="0" collapsed="false">
      <c r="A24" s="39"/>
      <c r="B24" s="39"/>
      <c r="C24" s="39"/>
      <c r="D24" s="39"/>
      <c r="E24" s="40"/>
      <c r="F24" s="40"/>
      <c r="G24" s="39"/>
      <c r="H24" s="39"/>
      <c r="L24" s="61" t="b">
        <f aca="false">IF('🔍 Search'!$B$2="",A24&lt;&gt;"",ISNUMBER(SEARCH('🔍 Search'!$B$2,A24&amp;" "&amp;B24&amp;" "&amp;C24&amp;" "&amp;H24)))</f>
        <v>0</v>
      </c>
      <c r="M24" s="0" t="str">
        <f aca="false">IF(L24,COUNTIF($L$7:L24,TRUE()),"")</f>
        <v/>
      </c>
    </row>
    <row r="25" customFormat="false" ht="15" hidden="false" customHeight="false" outlineLevel="0" collapsed="false">
      <c r="A25" s="39"/>
      <c r="B25" s="39"/>
      <c r="C25" s="39"/>
      <c r="D25" s="39"/>
      <c r="E25" s="40"/>
      <c r="F25" s="40"/>
      <c r="G25" s="39"/>
      <c r="H25" s="39"/>
      <c r="L25" s="61" t="b">
        <f aca="false">IF('🔍 Search'!$B$2="",A25&lt;&gt;"",ISNUMBER(SEARCH('🔍 Search'!$B$2,A25&amp;" "&amp;B25&amp;" "&amp;C25&amp;" "&amp;H25)))</f>
        <v>0</v>
      </c>
      <c r="M25" s="0" t="str">
        <f aca="false">IF(L25,COUNTIF($L$7:L25,TRUE()),"")</f>
        <v/>
      </c>
    </row>
    <row r="26" customFormat="false" ht="15" hidden="false" customHeight="false" outlineLevel="0" collapsed="false">
      <c r="A26" s="39"/>
      <c r="B26" s="39"/>
      <c r="C26" s="39"/>
      <c r="D26" s="39"/>
      <c r="E26" s="40"/>
      <c r="F26" s="40"/>
      <c r="G26" s="39"/>
      <c r="H26" s="39"/>
      <c r="L26" s="61" t="b">
        <f aca="false">IF('🔍 Search'!$B$2="",A26&lt;&gt;"",ISNUMBER(SEARCH('🔍 Search'!$B$2,A26&amp;" "&amp;B26&amp;" "&amp;C26&amp;" "&amp;H26)))</f>
        <v>0</v>
      </c>
      <c r="M26" s="0" t="str">
        <f aca="false">IF(L26,COUNTIF($L$7:L26,TRUE()),"")</f>
        <v/>
      </c>
    </row>
    <row r="27" customFormat="false" ht="15" hidden="false" customHeight="false" outlineLevel="0" collapsed="false">
      <c r="A27" s="39"/>
      <c r="B27" s="39"/>
      <c r="C27" s="39"/>
      <c r="D27" s="39"/>
      <c r="E27" s="40"/>
      <c r="F27" s="40"/>
      <c r="G27" s="39"/>
      <c r="H27" s="39"/>
      <c r="L27" s="61" t="b">
        <f aca="false">IF('🔍 Search'!$B$2="",A27&lt;&gt;"",ISNUMBER(SEARCH('🔍 Search'!$B$2,A27&amp;" "&amp;B27&amp;" "&amp;C27&amp;" "&amp;H27)))</f>
        <v>0</v>
      </c>
      <c r="M27" s="0" t="str">
        <f aca="false">IF(L27,COUNTIF($L$7:L27,TRUE()),"")</f>
        <v/>
      </c>
    </row>
    <row r="28" customFormat="false" ht="15" hidden="false" customHeight="false" outlineLevel="0" collapsed="false">
      <c r="A28" s="39"/>
      <c r="B28" s="39"/>
      <c r="C28" s="39"/>
      <c r="D28" s="39"/>
      <c r="E28" s="40"/>
      <c r="F28" s="40"/>
      <c r="G28" s="39"/>
      <c r="H28" s="39"/>
      <c r="L28" s="61" t="b">
        <f aca="false">IF('🔍 Search'!$B$2="",A28&lt;&gt;"",ISNUMBER(SEARCH('🔍 Search'!$B$2,A28&amp;" "&amp;B28&amp;" "&amp;C28&amp;" "&amp;H28)))</f>
        <v>0</v>
      </c>
      <c r="M28" s="0" t="str">
        <f aca="false">IF(L28,COUNTIF($L$7:L28,TRUE()),"")</f>
        <v/>
      </c>
    </row>
    <row r="29" customFormat="false" ht="15" hidden="false" customHeight="false" outlineLevel="0" collapsed="false">
      <c r="A29" s="39"/>
      <c r="B29" s="39"/>
      <c r="C29" s="39"/>
      <c r="D29" s="39"/>
      <c r="E29" s="40"/>
      <c r="F29" s="40"/>
      <c r="G29" s="39"/>
      <c r="H29" s="39"/>
      <c r="L29" s="61" t="b">
        <f aca="false">IF('🔍 Search'!$B$2="",A29&lt;&gt;"",ISNUMBER(SEARCH('🔍 Search'!$B$2,A29&amp;" "&amp;B29&amp;" "&amp;C29&amp;" "&amp;H29)))</f>
        <v>0</v>
      </c>
      <c r="M29" s="0" t="str">
        <f aca="false">IF(L29,COUNTIF($L$7:L29,TRUE()),"")</f>
        <v/>
      </c>
    </row>
    <row r="30" customFormat="false" ht="15" hidden="false" customHeight="false" outlineLevel="0" collapsed="false">
      <c r="A30" s="39"/>
      <c r="B30" s="39"/>
      <c r="C30" s="39"/>
      <c r="D30" s="39"/>
      <c r="E30" s="40"/>
      <c r="F30" s="40"/>
      <c r="G30" s="39"/>
      <c r="H30" s="39"/>
      <c r="L30" s="61" t="b">
        <f aca="false">IF('🔍 Search'!$B$2="",A30&lt;&gt;"",ISNUMBER(SEARCH('🔍 Search'!$B$2,A30&amp;" "&amp;B30&amp;" "&amp;C30&amp;" "&amp;H30)))</f>
        <v>0</v>
      </c>
      <c r="M30" s="0" t="str">
        <f aca="false">IF(L30,COUNTIF($L$7:L30,TRUE()),"")</f>
        <v/>
      </c>
    </row>
    <row r="31" customFormat="false" ht="15" hidden="false" customHeight="false" outlineLevel="0" collapsed="false">
      <c r="A31" s="39"/>
      <c r="B31" s="39"/>
      <c r="C31" s="39"/>
      <c r="D31" s="39"/>
      <c r="E31" s="40"/>
      <c r="F31" s="40"/>
      <c r="G31" s="39"/>
      <c r="H31" s="39"/>
      <c r="L31" s="61" t="b">
        <f aca="false">IF('🔍 Search'!$B$2="",A31&lt;&gt;"",ISNUMBER(SEARCH('🔍 Search'!$B$2,A31&amp;" "&amp;B31&amp;" "&amp;C31&amp;" "&amp;H31)))</f>
        <v>0</v>
      </c>
      <c r="M31" s="0" t="str">
        <f aca="false">IF(L31,COUNTIF($L$7:L31,TRUE()),"")</f>
        <v/>
      </c>
    </row>
    <row r="32" customFormat="false" ht="15" hidden="false" customHeight="false" outlineLevel="0" collapsed="false">
      <c r="A32" s="39"/>
      <c r="B32" s="39"/>
      <c r="C32" s="39"/>
      <c r="D32" s="39"/>
      <c r="E32" s="40"/>
      <c r="F32" s="40"/>
      <c r="G32" s="39"/>
      <c r="H32" s="39"/>
      <c r="L32" s="61" t="b">
        <f aca="false">IF('🔍 Search'!$B$2="",A32&lt;&gt;"",ISNUMBER(SEARCH('🔍 Search'!$B$2,A32&amp;" "&amp;B32&amp;" "&amp;C32&amp;" "&amp;H32)))</f>
        <v>0</v>
      </c>
      <c r="M32" s="0" t="str">
        <f aca="false">IF(L32,COUNTIF($L$7:L32,TRUE()),"")</f>
        <v/>
      </c>
    </row>
    <row r="33" customFormat="false" ht="15" hidden="false" customHeight="false" outlineLevel="0" collapsed="false">
      <c r="A33" s="39"/>
      <c r="B33" s="39"/>
      <c r="C33" s="39"/>
      <c r="D33" s="39"/>
      <c r="E33" s="40"/>
      <c r="F33" s="40"/>
      <c r="G33" s="39"/>
      <c r="H33" s="39"/>
      <c r="L33" s="61" t="b">
        <f aca="false">IF('🔍 Search'!$B$2="",A33&lt;&gt;"",ISNUMBER(SEARCH('🔍 Search'!$B$2,A33&amp;" "&amp;B33&amp;" "&amp;C33&amp;" "&amp;H33)))</f>
        <v>0</v>
      </c>
      <c r="M33" s="0" t="str">
        <f aca="false">IF(L33,COUNTIF($L$7:L33,TRUE()),"")</f>
        <v/>
      </c>
    </row>
    <row r="34" customFormat="false" ht="15" hidden="false" customHeight="false" outlineLevel="0" collapsed="false">
      <c r="A34" s="39"/>
      <c r="B34" s="39"/>
      <c r="C34" s="39"/>
      <c r="D34" s="39"/>
      <c r="E34" s="40"/>
      <c r="F34" s="40"/>
      <c r="G34" s="39"/>
      <c r="H34" s="39"/>
      <c r="L34" s="61" t="b">
        <f aca="false">IF('🔍 Search'!$B$2="",A34&lt;&gt;"",ISNUMBER(SEARCH('🔍 Search'!$B$2,A34&amp;" "&amp;B34&amp;" "&amp;C34&amp;" "&amp;H34)))</f>
        <v>0</v>
      </c>
      <c r="M34" s="0" t="str">
        <f aca="false">IF(L34,COUNTIF($L$7:L34,TRUE()),"")</f>
        <v/>
      </c>
    </row>
    <row r="35" customFormat="false" ht="15" hidden="false" customHeight="false" outlineLevel="0" collapsed="false">
      <c r="A35" s="39"/>
      <c r="B35" s="39"/>
      <c r="C35" s="39"/>
      <c r="D35" s="39"/>
      <c r="E35" s="40"/>
      <c r="F35" s="40"/>
      <c r="G35" s="39"/>
      <c r="H35" s="39"/>
      <c r="L35" s="61" t="b">
        <f aca="false">IF('🔍 Search'!$B$2="",A35&lt;&gt;"",ISNUMBER(SEARCH('🔍 Search'!$B$2,A35&amp;" "&amp;B35&amp;" "&amp;C35&amp;" "&amp;H35)))</f>
        <v>0</v>
      </c>
      <c r="M35" s="0" t="str">
        <f aca="false">IF(L35,COUNTIF($L$7:L35,TRUE()),"")</f>
        <v/>
      </c>
    </row>
    <row r="36" customFormat="false" ht="15" hidden="false" customHeight="false" outlineLevel="0" collapsed="false">
      <c r="A36" s="39"/>
      <c r="B36" s="39"/>
      <c r="C36" s="39"/>
      <c r="D36" s="39"/>
      <c r="E36" s="40"/>
      <c r="F36" s="40"/>
      <c r="G36" s="39"/>
      <c r="H36" s="39"/>
      <c r="L36" s="61" t="b">
        <f aca="false">IF('🔍 Search'!$B$2="",A36&lt;&gt;"",ISNUMBER(SEARCH('🔍 Search'!$B$2,A36&amp;" "&amp;B36&amp;" "&amp;C36&amp;" "&amp;H36)))</f>
        <v>0</v>
      </c>
      <c r="M36" s="0" t="str">
        <f aca="false">IF(L36,COUNTIF($L$7:L36,TRUE()),"")</f>
        <v/>
      </c>
    </row>
    <row r="37" customFormat="false" ht="15" hidden="false" customHeight="false" outlineLevel="0" collapsed="false">
      <c r="A37" s="39"/>
      <c r="B37" s="39"/>
      <c r="C37" s="39"/>
      <c r="D37" s="39"/>
      <c r="E37" s="40"/>
      <c r="F37" s="40"/>
      <c r="G37" s="39"/>
      <c r="H37" s="39"/>
      <c r="L37" s="61" t="b">
        <f aca="false">IF('🔍 Search'!$B$2="",A37&lt;&gt;"",ISNUMBER(SEARCH('🔍 Search'!$B$2,A37&amp;" "&amp;B37&amp;" "&amp;C37&amp;" "&amp;H37)))</f>
        <v>0</v>
      </c>
      <c r="M37" s="0" t="str">
        <f aca="false">IF(L37,COUNTIF($L$7:L37,TRUE()),"")</f>
        <v/>
      </c>
    </row>
    <row r="38" customFormat="false" ht="15" hidden="false" customHeight="false" outlineLevel="0" collapsed="false">
      <c r="A38" s="39"/>
      <c r="B38" s="39"/>
      <c r="C38" s="39"/>
      <c r="D38" s="39"/>
      <c r="E38" s="40"/>
      <c r="F38" s="40"/>
      <c r="G38" s="39"/>
      <c r="H38" s="39"/>
      <c r="L38" s="61" t="b">
        <f aca="false">IF('🔍 Search'!$B$2="",A38&lt;&gt;"",ISNUMBER(SEARCH('🔍 Search'!$B$2,A38&amp;" "&amp;B38&amp;" "&amp;C38&amp;" "&amp;H38)))</f>
        <v>0</v>
      </c>
      <c r="M38" s="0" t="str">
        <f aca="false">IF(L38,COUNTIF($L$7:L38,TRUE()),"")</f>
        <v/>
      </c>
    </row>
    <row r="39" customFormat="false" ht="15" hidden="false" customHeight="false" outlineLevel="0" collapsed="false">
      <c r="A39" s="39"/>
      <c r="B39" s="39"/>
      <c r="C39" s="39"/>
      <c r="D39" s="39"/>
      <c r="E39" s="40"/>
      <c r="F39" s="40"/>
      <c r="G39" s="39"/>
      <c r="H39" s="39"/>
      <c r="L39" s="61" t="b">
        <f aca="false">IF('🔍 Search'!$B$2="",A39&lt;&gt;"",ISNUMBER(SEARCH('🔍 Search'!$B$2,A39&amp;" "&amp;B39&amp;" "&amp;C39&amp;" "&amp;H39)))</f>
        <v>0</v>
      </c>
      <c r="M39" s="0" t="str">
        <f aca="false">IF(L39,COUNTIF($L$7:L39,TRUE()),"")</f>
        <v/>
      </c>
    </row>
    <row r="40" customFormat="false" ht="15" hidden="false" customHeight="false" outlineLevel="0" collapsed="false">
      <c r="A40" s="39"/>
      <c r="B40" s="39"/>
      <c r="C40" s="39"/>
      <c r="D40" s="39"/>
      <c r="E40" s="40"/>
      <c r="F40" s="40"/>
      <c r="G40" s="39"/>
      <c r="H40" s="39"/>
      <c r="L40" s="61" t="b">
        <f aca="false">IF('🔍 Search'!$B$2="",A40&lt;&gt;"",ISNUMBER(SEARCH('🔍 Search'!$B$2,A40&amp;" "&amp;B40&amp;" "&amp;C40&amp;" "&amp;H40)))</f>
        <v>0</v>
      </c>
      <c r="M40" s="0" t="str">
        <f aca="false">IF(L40,COUNTIF($L$7:L40,TRUE()),"")</f>
        <v/>
      </c>
    </row>
    <row r="41" customFormat="false" ht="15" hidden="false" customHeight="false" outlineLevel="0" collapsed="false">
      <c r="A41" s="39"/>
      <c r="B41" s="39"/>
      <c r="C41" s="39"/>
      <c r="D41" s="39"/>
      <c r="E41" s="40"/>
      <c r="F41" s="40"/>
      <c r="G41" s="39"/>
      <c r="H41" s="39"/>
      <c r="L41" s="61" t="b">
        <f aca="false">IF('🔍 Search'!$B$2="",A41&lt;&gt;"",ISNUMBER(SEARCH('🔍 Search'!$B$2,A41&amp;" "&amp;B41&amp;" "&amp;C41&amp;" "&amp;H41)))</f>
        <v>0</v>
      </c>
      <c r="M41" s="0" t="str">
        <f aca="false">IF(L41,COUNTIF($L$7:L41,TRUE()),"")</f>
        <v/>
      </c>
    </row>
    <row r="42" customFormat="false" ht="15" hidden="false" customHeight="false" outlineLevel="0" collapsed="false">
      <c r="A42" s="39"/>
      <c r="B42" s="39"/>
      <c r="C42" s="39"/>
      <c r="D42" s="39"/>
      <c r="E42" s="40"/>
      <c r="F42" s="40"/>
      <c r="G42" s="39"/>
      <c r="H42" s="39"/>
      <c r="L42" s="61" t="b">
        <f aca="false">IF('🔍 Search'!$B$2="",A42&lt;&gt;"",ISNUMBER(SEARCH('🔍 Search'!$B$2,A42&amp;" "&amp;B42&amp;" "&amp;C42&amp;" "&amp;H42)))</f>
        <v>0</v>
      </c>
      <c r="M42" s="0" t="str">
        <f aca="false">IF(L42,COUNTIF($L$7:L42,TRUE()),"")</f>
        <v/>
      </c>
    </row>
    <row r="43" customFormat="false" ht="15" hidden="false" customHeight="false" outlineLevel="0" collapsed="false">
      <c r="A43" s="39"/>
      <c r="B43" s="39"/>
      <c r="C43" s="39"/>
      <c r="D43" s="39"/>
      <c r="E43" s="40"/>
      <c r="F43" s="40"/>
      <c r="G43" s="39"/>
      <c r="H43" s="39"/>
      <c r="L43" s="61" t="b">
        <f aca="false">IF('🔍 Search'!$B$2="",A43&lt;&gt;"",ISNUMBER(SEARCH('🔍 Search'!$B$2,A43&amp;" "&amp;B43&amp;" "&amp;C43&amp;" "&amp;H43)))</f>
        <v>0</v>
      </c>
      <c r="M43" s="0" t="str">
        <f aca="false">IF(L43,COUNTIF($L$7:L43,TRUE()),"")</f>
        <v/>
      </c>
    </row>
    <row r="44" customFormat="false" ht="15" hidden="false" customHeight="false" outlineLevel="0" collapsed="false">
      <c r="A44" s="39"/>
      <c r="B44" s="39"/>
      <c r="C44" s="39"/>
      <c r="D44" s="39"/>
      <c r="E44" s="40"/>
      <c r="F44" s="40"/>
      <c r="G44" s="39"/>
      <c r="H44" s="39"/>
      <c r="L44" s="61" t="b">
        <f aca="false">IF('🔍 Search'!$B$2="",A44&lt;&gt;"",ISNUMBER(SEARCH('🔍 Search'!$B$2,A44&amp;" "&amp;B44&amp;" "&amp;C44&amp;" "&amp;H44)))</f>
        <v>0</v>
      </c>
      <c r="M44" s="0" t="str">
        <f aca="false">IF(L44,COUNTIF($L$7:L44,TRUE()),"")</f>
        <v/>
      </c>
    </row>
    <row r="45" customFormat="false" ht="15" hidden="false" customHeight="false" outlineLevel="0" collapsed="false">
      <c r="A45" s="39"/>
      <c r="B45" s="39"/>
      <c r="C45" s="39"/>
      <c r="D45" s="39"/>
      <c r="E45" s="40"/>
      <c r="F45" s="40"/>
      <c r="G45" s="39"/>
      <c r="H45" s="39"/>
      <c r="L45" s="61" t="b">
        <f aca="false">IF('🔍 Search'!$B$2="",A45&lt;&gt;"",ISNUMBER(SEARCH('🔍 Search'!$B$2,A45&amp;" "&amp;B45&amp;" "&amp;C45&amp;" "&amp;H45)))</f>
        <v>0</v>
      </c>
      <c r="M45" s="0" t="str">
        <f aca="false">IF(L45,COUNTIF($L$7:L45,TRUE()),"")</f>
        <v/>
      </c>
    </row>
    <row r="46" customFormat="false" ht="15" hidden="false" customHeight="false" outlineLevel="0" collapsed="false">
      <c r="A46" s="39"/>
      <c r="B46" s="39"/>
      <c r="C46" s="39"/>
      <c r="D46" s="39"/>
      <c r="E46" s="40"/>
      <c r="F46" s="40"/>
      <c r="G46" s="39"/>
      <c r="H46" s="39"/>
      <c r="L46" s="61" t="b">
        <f aca="false">IF('🔍 Search'!$B$2="",A46&lt;&gt;"",ISNUMBER(SEARCH('🔍 Search'!$B$2,A46&amp;" "&amp;B46&amp;" "&amp;C46&amp;" "&amp;H46)))</f>
        <v>0</v>
      </c>
      <c r="M46" s="0" t="str">
        <f aca="false">IF(L46,COUNTIF($L$7:L46,TRUE()),"")</f>
        <v/>
      </c>
    </row>
    <row r="47" customFormat="false" ht="15" hidden="false" customHeight="false" outlineLevel="0" collapsed="false">
      <c r="A47" s="39"/>
      <c r="B47" s="39"/>
      <c r="C47" s="39"/>
      <c r="D47" s="39"/>
      <c r="E47" s="40"/>
      <c r="F47" s="40"/>
      <c r="G47" s="39"/>
      <c r="H47" s="39"/>
      <c r="L47" s="61" t="b">
        <f aca="false">IF('🔍 Search'!$B$2="",A47&lt;&gt;"",ISNUMBER(SEARCH('🔍 Search'!$B$2,A47&amp;" "&amp;B47&amp;" "&amp;C47&amp;" "&amp;H47)))</f>
        <v>0</v>
      </c>
      <c r="M47" s="0" t="str">
        <f aca="false">IF(L47,COUNTIF($L$7:L47,TRUE()),"")</f>
        <v/>
      </c>
    </row>
    <row r="48" customFormat="false" ht="15" hidden="false" customHeight="false" outlineLevel="0" collapsed="false">
      <c r="A48" s="39"/>
      <c r="B48" s="39"/>
      <c r="C48" s="39"/>
      <c r="D48" s="39"/>
      <c r="E48" s="40"/>
      <c r="F48" s="40"/>
      <c r="G48" s="39"/>
      <c r="H48" s="39"/>
      <c r="L48" s="61" t="b">
        <f aca="false">IF('🔍 Search'!$B$2="",A48&lt;&gt;"",ISNUMBER(SEARCH('🔍 Search'!$B$2,A48&amp;" "&amp;B48&amp;" "&amp;C48&amp;" "&amp;H48)))</f>
        <v>0</v>
      </c>
      <c r="M48" s="0" t="str">
        <f aca="false">IF(L48,COUNTIF($L$7:L48,TRUE()),"")</f>
        <v/>
      </c>
    </row>
    <row r="49" customFormat="false" ht="15" hidden="false" customHeight="false" outlineLevel="0" collapsed="false">
      <c r="A49" s="39"/>
      <c r="B49" s="39"/>
      <c r="C49" s="39"/>
      <c r="D49" s="39"/>
      <c r="E49" s="40"/>
      <c r="F49" s="40"/>
      <c r="G49" s="39"/>
      <c r="H49" s="39"/>
      <c r="L49" s="61" t="b">
        <f aca="false">IF('🔍 Search'!$B$2="",A49&lt;&gt;"",ISNUMBER(SEARCH('🔍 Search'!$B$2,A49&amp;" "&amp;B49&amp;" "&amp;C49&amp;" "&amp;H49)))</f>
        <v>0</v>
      </c>
      <c r="M49" s="0" t="str">
        <f aca="false">IF(L49,COUNTIF($L$7:L49,TRUE()),"")</f>
        <v/>
      </c>
    </row>
    <row r="50" customFormat="false" ht="15" hidden="false" customHeight="false" outlineLevel="0" collapsed="false">
      <c r="A50" s="39"/>
      <c r="B50" s="39"/>
      <c r="C50" s="39"/>
      <c r="D50" s="39"/>
      <c r="E50" s="40"/>
      <c r="F50" s="40"/>
      <c r="G50" s="39"/>
      <c r="H50" s="39"/>
      <c r="L50" s="61" t="b">
        <f aca="false">IF('🔍 Search'!$B$2="",A50&lt;&gt;"",ISNUMBER(SEARCH('🔍 Search'!$B$2,A50&amp;" "&amp;B50&amp;" "&amp;C50&amp;" "&amp;H50)))</f>
        <v>0</v>
      </c>
      <c r="M50" s="0" t="str">
        <f aca="false">IF(L50,COUNTIF($L$7:L50,TRUE()),"")</f>
        <v/>
      </c>
    </row>
    <row r="51" customFormat="false" ht="15" hidden="false" customHeight="false" outlineLevel="0" collapsed="false">
      <c r="A51" s="39"/>
      <c r="B51" s="39"/>
      <c r="C51" s="39"/>
      <c r="D51" s="39"/>
      <c r="E51" s="40"/>
      <c r="F51" s="40"/>
      <c r="G51" s="39"/>
      <c r="H51" s="39"/>
      <c r="L51" s="61" t="b">
        <f aca="false">IF('🔍 Search'!$B$2="",A51&lt;&gt;"",ISNUMBER(SEARCH('🔍 Search'!$B$2,A51&amp;" "&amp;B51&amp;" "&amp;C51&amp;" "&amp;H51)))</f>
        <v>0</v>
      </c>
      <c r="M51" s="0" t="str">
        <f aca="false">IF(L51,COUNTIF($L$7:L51,TRUE()),"")</f>
        <v/>
      </c>
    </row>
    <row r="52" customFormat="false" ht="15" hidden="false" customHeight="false" outlineLevel="0" collapsed="false">
      <c r="A52" s="39"/>
      <c r="B52" s="39"/>
      <c r="C52" s="39"/>
      <c r="D52" s="39"/>
      <c r="E52" s="40"/>
      <c r="F52" s="40"/>
      <c r="G52" s="39"/>
      <c r="H52" s="39"/>
      <c r="L52" s="61" t="b">
        <f aca="false">IF('🔍 Search'!$B$2="",A52&lt;&gt;"",ISNUMBER(SEARCH('🔍 Search'!$B$2,A52&amp;" "&amp;B52&amp;" "&amp;C52&amp;" "&amp;H52)))</f>
        <v>0</v>
      </c>
      <c r="M52" s="0" t="str">
        <f aca="false">IF(L52,COUNTIF($L$7:L52,TRUE()),"")</f>
        <v/>
      </c>
    </row>
    <row r="53" customFormat="false" ht="15" hidden="false" customHeight="false" outlineLevel="0" collapsed="false">
      <c r="A53" s="39"/>
      <c r="B53" s="39"/>
      <c r="C53" s="39"/>
      <c r="D53" s="39"/>
      <c r="E53" s="40"/>
      <c r="F53" s="40"/>
      <c r="G53" s="39"/>
      <c r="H53" s="39"/>
      <c r="L53" s="61" t="b">
        <f aca="false">IF('🔍 Search'!$B$2="",A53&lt;&gt;"",ISNUMBER(SEARCH('🔍 Search'!$B$2,A53&amp;" "&amp;B53&amp;" "&amp;C53&amp;" "&amp;H53)))</f>
        <v>0</v>
      </c>
      <c r="M53" s="0" t="str">
        <f aca="false">IF(L53,COUNTIF($L$7:L53,TRUE()),"")</f>
        <v/>
      </c>
    </row>
    <row r="54" customFormat="false" ht="15" hidden="false" customHeight="false" outlineLevel="0" collapsed="false">
      <c r="A54" s="39"/>
      <c r="B54" s="39"/>
      <c r="C54" s="39"/>
      <c r="D54" s="39"/>
      <c r="E54" s="40"/>
      <c r="F54" s="40"/>
      <c r="G54" s="39"/>
      <c r="H54" s="39"/>
      <c r="L54" s="61" t="b">
        <f aca="false">IF('🔍 Search'!$B$2="",A54&lt;&gt;"",ISNUMBER(SEARCH('🔍 Search'!$B$2,A54&amp;" "&amp;B54&amp;" "&amp;C54&amp;" "&amp;H54)))</f>
        <v>0</v>
      </c>
      <c r="M54" s="0" t="str">
        <f aca="false">IF(L54,COUNTIF($L$7:L54,TRUE()),"")</f>
        <v/>
      </c>
    </row>
    <row r="55" customFormat="false" ht="15" hidden="false" customHeight="false" outlineLevel="0" collapsed="false">
      <c r="A55" s="39"/>
      <c r="B55" s="39"/>
      <c r="C55" s="39"/>
      <c r="D55" s="39"/>
      <c r="E55" s="40"/>
      <c r="F55" s="40"/>
      <c r="G55" s="39"/>
      <c r="H55" s="39"/>
      <c r="L55" s="61" t="b">
        <f aca="false">IF('🔍 Search'!$B$2="",A55&lt;&gt;"",ISNUMBER(SEARCH('🔍 Search'!$B$2,A55&amp;" "&amp;B55&amp;" "&amp;C55&amp;" "&amp;H55)))</f>
        <v>0</v>
      </c>
      <c r="M55" s="0" t="str">
        <f aca="false">IF(L55,COUNTIF($L$7:L55,TRUE()),"")</f>
        <v/>
      </c>
    </row>
    <row r="56" customFormat="false" ht="15" hidden="false" customHeight="false" outlineLevel="0" collapsed="false">
      <c r="A56" s="39"/>
      <c r="B56" s="39"/>
      <c r="C56" s="39"/>
      <c r="D56" s="39"/>
      <c r="E56" s="40"/>
      <c r="F56" s="40"/>
      <c r="G56" s="39"/>
      <c r="H56" s="39"/>
      <c r="L56" s="61" t="b">
        <f aca="false">IF('🔍 Search'!$B$2="",A56&lt;&gt;"",ISNUMBER(SEARCH('🔍 Search'!$B$2,A56&amp;" "&amp;B56&amp;" "&amp;C56&amp;" "&amp;H56)))</f>
        <v>0</v>
      </c>
      <c r="M56" s="0" t="str">
        <f aca="false">IF(L56,COUNTIF($L$7:L56,TRUE()),"")</f>
        <v/>
      </c>
    </row>
    <row r="58" customFormat="false" ht="15" hidden="false" customHeight="true" outlineLevel="0" collapsed="false">
      <c r="A58" s="54" t="s">
        <v>295</v>
      </c>
      <c r="B58" s="54"/>
      <c r="C58" s="54"/>
      <c r="D58" s="54"/>
      <c r="E58" s="54"/>
      <c r="F58" s="54"/>
      <c r="G58" s="54"/>
      <c r="H58" s="54"/>
    </row>
  </sheetData>
  <autoFilter ref="A6:H56"/>
  <mergeCells count="11">
    <mergeCell ref="A1:H1"/>
    <mergeCell ref="A3:H3"/>
    <mergeCell ref="A4:B4"/>
    <mergeCell ref="C4:D4"/>
    <mergeCell ref="E4:F4"/>
    <mergeCell ref="G4:H4"/>
    <mergeCell ref="A5:B5"/>
    <mergeCell ref="C5:D5"/>
    <mergeCell ref="E5:F5"/>
    <mergeCell ref="G5:H5"/>
    <mergeCell ref="A58:H58"/>
  </mergeCells>
  <conditionalFormatting sqref="F7:F56">
    <cfRule type="expression" priority="2" aboveAverage="0" equalAverage="0" bottom="0" percent="0" rank="0" text="" dxfId="4">
      <formula>AND($F7&lt;TODAY(),$G7&lt;&gt;"Completed",$A7&lt;&gt;"")</formula>
    </cfRule>
  </conditionalFormatting>
  <conditionalFormatting sqref="G7:G56">
    <cfRule type="cellIs" priority="3" operator="equal" aboveAverage="0" equalAverage="0" bottom="0" percent="0" rank="0" text="" dxfId="20">
      <formula>"Not Started"</formula>
    </cfRule>
    <cfRule type="cellIs" priority="4" operator="equal" aboveAverage="0" equalAverage="0" bottom="0" percent="0" rank="0" text="" dxfId="9">
      <formula>"In Progress"</formula>
    </cfRule>
    <cfRule type="cellIs" priority="5" operator="equal" aboveAverage="0" equalAverage="0" bottom="0" percent="0" rank="0" text="" dxfId="5">
      <formula>"Completed"</formula>
    </cfRule>
  </conditionalFormatting>
  <conditionalFormatting sqref="D7:D56">
    <cfRule type="cellIs" priority="6" operator="equal" aboveAverage="0" equalAverage="0" bottom="0" percent="0" rank="0" text="" dxfId="22">
      <formula>"High"</formula>
    </cfRule>
  </conditionalFormatting>
  <dataValidations count="5">
    <dataValidation allowBlank="true" error="Please enter a valid date." errorStyle="stop" errorTitle="Invalid date" operator="between" showDropDown="false" showErrorMessage="true" showInputMessage="false" sqref="E7:F56" type="date">
      <formula1>32874</formula1>
      <formula2>73415</formula2>
    </dataValidation>
    <dataValidation allowBlank="true" error="Please choose from the list." errorStyle="stop" errorTitle="Invalid entry" operator="between" showDropDown="false" showErrorMessage="false" showInputMessage="false" sqref="B7:B56" type="list">
      <formula1>List_TaskCategory</formula1>
      <formula2>0</formula2>
    </dataValidation>
    <dataValidation allowBlank="true" error="Please choose from the list." errorStyle="stop" errorTitle="Invalid entry" operator="between" showDropDown="false" showErrorMessage="false" showInputMessage="false" sqref="C7:C56" type="list">
      <formula1>List_FamilyMembers</formula1>
      <formula2>0</formula2>
    </dataValidation>
    <dataValidation allowBlank="true" error="Please choose from the list." errorStyle="stop" errorTitle="Invalid entry" operator="between" showDropDown="false" showErrorMessage="false" showInputMessage="false" sqref="D7:D56" type="list">
      <formula1>List_TaskPriority</formula1>
      <formula2>0</formula2>
    </dataValidation>
    <dataValidation allowBlank="true" error="Please choose from the list." errorStyle="stop" errorTitle="Invalid entry" operator="between" showDropDown="false" showErrorMessage="false" showInputMessage="false" sqref="G7:G56" type="list">
      <formula1>List_TaskStatus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1735"/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26"/>
    <col collapsed="false" customWidth="true" hidden="false" outlineLevel="0" max="7" min="7" style="0" width="12"/>
    <col collapsed="false" customWidth="true" hidden="false" outlineLevel="0" max="8" min="8" style="0" width="24"/>
  </cols>
  <sheetData>
    <row r="1" customFormat="false" ht="27.75" hidden="false" customHeight="true" outlineLevel="0" collapsed="false">
      <c r="A1" s="31" t="s">
        <v>296</v>
      </c>
      <c r="B1" s="31"/>
      <c r="C1" s="31"/>
      <c r="D1" s="31"/>
      <c r="E1" s="31"/>
      <c r="F1" s="31"/>
      <c r="G1" s="31"/>
      <c r="H1" s="31"/>
    </row>
    <row r="3" customFormat="false" ht="30" hidden="false" customHeight="true" outlineLevel="0" collapsed="false">
      <c r="A3" s="42" t="s">
        <v>297</v>
      </c>
      <c r="B3" s="42" t="s">
        <v>202</v>
      </c>
      <c r="C3" s="42" t="s">
        <v>298</v>
      </c>
      <c r="D3" s="42" t="s">
        <v>90</v>
      </c>
      <c r="E3" s="42" t="s">
        <v>258</v>
      </c>
      <c r="F3" s="42" t="s">
        <v>299</v>
      </c>
      <c r="G3" s="42" t="s">
        <v>212</v>
      </c>
      <c r="H3" s="42" t="s">
        <v>192</v>
      </c>
    </row>
    <row r="4" customFormat="false" ht="15" hidden="false" customHeight="false" outlineLevel="0" collapsed="false">
      <c r="A4" s="43" t="s">
        <v>92</v>
      </c>
      <c r="B4" s="40" t="n">
        <v>46366</v>
      </c>
      <c r="C4" s="67" t="n">
        <v>0.75</v>
      </c>
      <c r="D4" s="39" t="s">
        <v>300</v>
      </c>
      <c r="E4" s="39" t="s">
        <v>96</v>
      </c>
      <c r="F4" s="39" t="s">
        <v>301</v>
      </c>
      <c r="G4" s="39" t="s">
        <v>93</v>
      </c>
      <c r="H4" s="39"/>
    </row>
    <row r="5" customFormat="false" ht="15" hidden="false" customHeight="false" outlineLevel="0" collapsed="false">
      <c r="A5" s="39" t="s">
        <v>109</v>
      </c>
      <c r="B5" s="40"/>
      <c r="C5" s="67"/>
      <c r="D5" s="39"/>
      <c r="E5" s="39"/>
      <c r="F5" s="39"/>
      <c r="G5" s="39"/>
      <c r="H5" s="39"/>
    </row>
    <row r="6" customFormat="false" ht="15" hidden="false" customHeight="false" outlineLevel="0" collapsed="false">
      <c r="A6" s="39" t="s">
        <v>127</v>
      </c>
      <c r="B6" s="40"/>
      <c r="C6" s="67"/>
      <c r="D6" s="39"/>
      <c r="E6" s="39"/>
      <c r="F6" s="39"/>
      <c r="G6" s="39"/>
      <c r="H6" s="39"/>
    </row>
    <row r="7" customFormat="false" ht="15" hidden="false" customHeight="false" outlineLevel="0" collapsed="false">
      <c r="A7" s="39" t="s">
        <v>143</v>
      </c>
      <c r="B7" s="40"/>
      <c r="C7" s="67"/>
      <c r="D7" s="39"/>
      <c r="E7" s="39"/>
      <c r="F7" s="39"/>
      <c r="G7" s="39"/>
      <c r="H7" s="39"/>
    </row>
    <row r="8" customFormat="false" ht="15" hidden="false" customHeight="false" outlineLevel="0" collapsed="false">
      <c r="A8" s="39" t="s">
        <v>156</v>
      </c>
      <c r="B8" s="40"/>
      <c r="C8" s="67"/>
      <c r="D8" s="39"/>
      <c r="E8" s="39"/>
      <c r="F8" s="39"/>
      <c r="G8" s="39"/>
      <c r="H8" s="39"/>
    </row>
    <row r="9" customFormat="false" ht="15" hidden="false" customHeight="false" outlineLevel="0" collapsed="false">
      <c r="A9" s="39" t="s">
        <v>165</v>
      </c>
      <c r="B9" s="40"/>
      <c r="C9" s="67"/>
      <c r="D9" s="39"/>
      <c r="E9" s="39"/>
      <c r="F9" s="39"/>
      <c r="G9" s="39"/>
      <c r="H9" s="39"/>
    </row>
    <row r="10" customFormat="false" ht="15" hidden="false" customHeight="false" outlineLevel="0" collapsed="false">
      <c r="A10" s="39"/>
      <c r="B10" s="40"/>
      <c r="C10" s="67"/>
      <c r="D10" s="39"/>
      <c r="E10" s="39"/>
      <c r="F10" s="39"/>
      <c r="G10" s="39"/>
      <c r="H10" s="39"/>
    </row>
    <row r="11" customFormat="false" ht="15" hidden="false" customHeight="false" outlineLevel="0" collapsed="false">
      <c r="A11" s="39"/>
      <c r="B11" s="40"/>
      <c r="C11" s="67"/>
      <c r="D11" s="39"/>
      <c r="E11" s="39"/>
      <c r="F11" s="39"/>
      <c r="G11" s="39"/>
      <c r="H11" s="39"/>
    </row>
    <row r="12" customFormat="false" ht="15" hidden="false" customHeight="false" outlineLevel="0" collapsed="false">
      <c r="A12" s="39"/>
      <c r="B12" s="40"/>
      <c r="C12" s="67"/>
      <c r="D12" s="39"/>
      <c r="E12" s="39"/>
      <c r="F12" s="39"/>
      <c r="G12" s="39"/>
      <c r="H12" s="39"/>
    </row>
    <row r="13" customFormat="false" ht="15" hidden="false" customHeight="false" outlineLevel="0" collapsed="false">
      <c r="A13" s="39"/>
      <c r="B13" s="40"/>
      <c r="C13" s="67"/>
      <c r="D13" s="39"/>
      <c r="E13" s="39"/>
      <c r="F13" s="39"/>
      <c r="G13" s="39"/>
      <c r="H13" s="39"/>
    </row>
    <row r="14" customFormat="false" ht="15" hidden="false" customHeight="false" outlineLevel="0" collapsed="false">
      <c r="A14" s="39"/>
      <c r="B14" s="40"/>
      <c r="C14" s="67"/>
      <c r="D14" s="39"/>
      <c r="E14" s="39"/>
      <c r="F14" s="39"/>
      <c r="G14" s="39"/>
      <c r="H14" s="39"/>
    </row>
    <row r="15" customFormat="false" ht="15" hidden="false" customHeight="false" outlineLevel="0" collapsed="false">
      <c r="A15" s="39"/>
      <c r="B15" s="40"/>
      <c r="C15" s="67"/>
      <c r="D15" s="39"/>
      <c r="E15" s="39"/>
      <c r="F15" s="39"/>
      <c r="G15" s="39"/>
      <c r="H15" s="39"/>
    </row>
    <row r="16" customFormat="false" ht="15" hidden="false" customHeight="false" outlineLevel="0" collapsed="false">
      <c r="A16" s="39"/>
      <c r="B16" s="40"/>
      <c r="C16" s="67"/>
      <c r="D16" s="39"/>
      <c r="E16" s="39"/>
      <c r="F16" s="39"/>
      <c r="G16" s="39"/>
      <c r="H16" s="39"/>
    </row>
    <row r="17" customFormat="false" ht="15" hidden="false" customHeight="false" outlineLevel="0" collapsed="false">
      <c r="A17" s="39"/>
      <c r="B17" s="40"/>
      <c r="C17" s="67"/>
      <c r="D17" s="39"/>
      <c r="E17" s="39"/>
      <c r="F17" s="39"/>
      <c r="G17" s="39"/>
      <c r="H17" s="39"/>
    </row>
    <row r="19" customFormat="false" ht="25.5" hidden="false" customHeight="true" outlineLevel="0" collapsed="false">
      <c r="A19" s="54" t="s">
        <v>302</v>
      </c>
      <c r="B19" s="54"/>
      <c r="C19" s="54"/>
      <c r="D19" s="54"/>
      <c r="E19" s="54"/>
      <c r="F19" s="54"/>
      <c r="G19" s="54"/>
      <c r="H19" s="54"/>
    </row>
  </sheetData>
  <autoFilter ref="A3:H17"/>
  <mergeCells count="2">
    <mergeCell ref="A1:H1"/>
    <mergeCell ref="A19:H19"/>
  </mergeCells>
  <conditionalFormatting sqref="G4:G17">
    <cfRule type="cellIs" priority="2" operator="equal" aboveAverage="0" equalAverage="0" bottom="0" percent="0" rank="0" text="" dxfId="20">
      <formula>"Upcoming"</formula>
    </cfRule>
    <cfRule type="cellIs" priority="3" operator="equal" aboveAverage="0" equalAverage="0" bottom="0" percent="0" rank="0" text="" dxfId="9">
      <formula>"In Progress"</formula>
    </cfRule>
    <cfRule type="cellIs" priority="4" operator="equal" aboveAverage="0" equalAverage="0" bottom="0" percent="0" rank="0" text="" dxfId="5">
      <formula>"Done"</formula>
    </cfRule>
  </conditionalFormatting>
  <dataValidations count="4">
    <dataValidation allowBlank="true" error="Please enter a valid date." errorStyle="stop" errorTitle="Invalid date" operator="between" showDropDown="false" showErrorMessage="true" showInputMessage="false" sqref="B4:B17" type="date">
      <formula1>32874</formula1>
      <formula2>73415</formula2>
    </dataValidation>
    <dataValidation allowBlank="true" error="Please choose from the list." errorStyle="stop" errorTitle="Invalid entry" operator="between" showDropDown="false" showErrorMessage="false" showInputMessage="false" sqref="A4:A17" type="list">
      <formula1>List_TimelineEvent</formula1>
      <formula2>0</formula2>
    </dataValidation>
    <dataValidation allowBlank="true" error="Please choose from the list." errorStyle="stop" errorTitle="Invalid entry" operator="between" showDropDown="false" showErrorMessage="false" showInputMessage="false" sqref="E4:E17" type="list">
      <formula1>List_FamilyMembers</formula1>
      <formula2>0</formula2>
    </dataValidation>
    <dataValidation allowBlank="true" error="Please choose from the list." errorStyle="stop" errorTitle="Invalid entry" operator="between" showDropDown="false" showErrorMessage="false" showInputMessage="false" sqref="G4:G17" type="list">
      <formula1>List_TimelineStatus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1735"/>
    <pageSetUpPr fitToPage="false"/>
  </sheetPr>
  <dimension ref="A1:E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6"/>
    <col collapsed="false" customWidth="true" hidden="false" outlineLevel="0" max="5" min="5" style="0" width="30"/>
  </cols>
  <sheetData>
    <row r="1" customFormat="false" ht="27.75" hidden="false" customHeight="true" outlineLevel="0" collapsed="false">
      <c r="A1" s="31" t="s">
        <v>303</v>
      </c>
      <c r="B1" s="31"/>
      <c r="C1" s="31"/>
      <c r="D1" s="31"/>
      <c r="E1" s="31"/>
    </row>
    <row r="3" customFormat="false" ht="15" hidden="false" customHeight="false" outlineLevel="0" collapsed="false">
      <c r="A3" s="37" t="s">
        <v>304</v>
      </c>
      <c r="B3" s="37"/>
      <c r="C3" s="37"/>
      <c r="D3" s="37"/>
      <c r="E3" s="37"/>
    </row>
    <row r="4" customFormat="false" ht="21.75" hidden="false" customHeight="true" outlineLevel="0" collapsed="false">
      <c r="A4" s="42" t="s">
        <v>189</v>
      </c>
      <c r="B4" s="42" t="s">
        <v>305</v>
      </c>
      <c r="C4" s="42" t="s">
        <v>191</v>
      </c>
      <c r="D4" s="42" t="s">
        <v>245</v>
      </c>
      <c r="E4" s="42" t="s">
        <v>192</v>
      </c>
    </row>
    <row r="5" customFormat="false" ht="15" hidden="false" customHeight="false" outlineLevel="0" collapsed="false">
      <c r="A5" s="68" t="str">
        <f aca="false">IF('ℹ️ Wedding Info'!A13="","",'ℹ️ Wedding Info'!A13&amp;"")</f>
        <v>Suresh Kumar</v>
      </c>
      <c r="B5" s="68" t="str">
        <f aca="false">IF('ℹ️ Wedding Info'!A13="","","Emergency ("&amp;'ℹ️ Wedding Info'!B13&amp;")")</f>
        <v>Emergency (Father)</v>
      </c>
      <c r="C5" s="68" t="str">
        <f aca="false">IF('ℹ️ Wedding Info'!A13="","",'ℹ️ Wedding Info'!C13&amp;"")</f>
        <v>+91 98765 43210</v>
      </c>
      <c r="D5" s="68"/>
      <c r="E5" s="68" t="str">
        <f aca="false">IF('ℹ️ Wedding Info'!A13="","",'ℹ️ Wedding Info'!D13&amp;"")</f>
        <v>Primary contact</v>
      </c>
    </row>
    <row r="6" customFormat="false" ht="15" hidden="false" customHeight="false" outlineLevel="0" collapsed="false">
      <c r="A6" s="68" t="str">
        <f aca="false">IF('ℹ️ Wedding Info'!A14="","",'ℹ️ Wedding Info'!A14&amp;"")</f>
        <v/>
      </c>
      <c r="B6" s="68" t="str">
        <f aca="false">IF('ℹ️ Wedding Info'!A14="","","Emergency ("&amp;'ℹ️ Wedding Info'!B14&amp;")")</f>
        <v/>
      </c>
      <c r="C6" s="68" t="str">
        <f aca="false">IF('ℹ️ Wedding Info'!A14="","",'ℹ️ Wedding Info'!C14&amp;"")</f>
        <v/>
      </c>
      <c r="D6" s="68"/>
      <c r="E6" s="68" t="str">
        <f aca="false">IF('ℹ️ Wedding Info'!A14="","",'ℹ️ Wedding Info'!D14&amp;"")</f>
        <v/>
      </c>
    </row>
    <row r="7" customFormat="false" ht="15" hidden="false" customHeight="false" outlineLevel="0" collapsed="false">
      <c r="A7" s="68" t="str">
        <f aca="false">IF('ℹ️ Wedding Info'!A15="","",'ℹ️ Wedding Info'!A15&amp;"")</f>
        <v/>
      </c>
      <c r="B7" s="68" t="str">
        <f aca="false">IF('ℹ️ Wedding Info'!A15="","","Emergency ("&amp;'ℹ️ Wedding Info'!B15&amp;")")</f>
        <v/>
      </c>
      <c r="C7" s="68" t="str">
        <f aca="false">IF('ℹ️ Wedding Info'!A15="","",'ℹ️ Wedding Info'!C15&amp;"")</f>
        <v/>
      </c>
      <c r="D7" s="68"/>
      <c r="E7" s="68" t="str">
        <f aca="false">IF('ℹ️ Wedding Info'!A15="","",'ℹ️ Wedding Info'!D15&amp;"")</f>
        <v/>
      </c>
    </row>
    <row r="8" customFormat="false" ht="15" hidden="false" customHeight="false" outlineLevel="0" collapsed="false">
      <c r="A8" s="68" t="str">
        <f aca="false">IF('ℹ️ Wedding Info'!A16="","",'ℹ️ Wedding Info'!A16&amp;"")</f>
        <v/>
      </c>
      <c r="B8" s="68" t="str">
        <f aca="false">IF('ℹ️ Wedding Info'!A16="","","Emergency ("&amp;'ℹ️ Wedding Info'!B16&amp;")")</f>
        <v/>
      </c>
      <c r="C8" s="68" t="str">
        <f aca="false">IF('ℹ️ Wedding Info'!A16="","",'ℹ️ Wedding Info'!C16&amp;"")</f>
        <v/>
      </c>
      <c r="D8" s="68"/>
      <c r="E8" s="68" t="str">
        <f aca="false">IF('ℹ️ Wedding Info'!A16="","",'ℹ️ Wedding Info'!D16&amp;"")</f>
        <v/>
      </c>
    </row>
    <row r="9" customFormat="false" ht="15" hidden="false" customHeight="false" outlineLevel="0" collapsed="false">
      <c r="A9" s="68" t="str">
        <f aca="false">IF('ℹ️ Wedding Info'!A17="","",'ℹ️ Wedding Info'!A17&amp;"")</f>
        <v/>
      </c>
      <c r="B9" s="68" t="str">
        <f aca="false">IF('ℹ️ Wedding Info'!A17="","","Emergency ("&amp;'ℹ️ Wedding Info'!B17&amp;")")</f>
        <v/>
      </c>
      <c r="C9" s="68" t="str">
        <f aca="false">IF('ℹ️ Wedding Info'!A17="","",'ℹ️ Wedding Info'!C17&amp;"")</f>
        <v/>
      </c>
      <c r="D9" s="68"/>
      <c r="E9" s="68" t="str">
        <f aca="false">IF('ℹ️ Wedding Info'!A17="","",'ℹ️ Wedding Info'!D17&amp;"")</f>
        <v/>
      </c>
    </row>
    <row r="10" customFormat="false" ht="15" hidden="false" customHeight="false" outlineLevel="0" collapsed="false">
      <c r="A10" s="68" t="str">
        <f aca="false">IF('ℹ️ Wedding Info'!A21="","",'ℹ️ Wedding Info'!A21&amp;"")</f>
        <v>Caterer — Ramesh Catering</v>
      </c>
      <c r="B10" s="68" t="str">
        <f aca="false">IF('ℹ️ Wedding Info'!A21="","","Important Number")</f>
        <v>Important Number</v>
      </c>
      <c r="C10" s="68" t="str">
        <f aca="false">IF('ℹ️ Wedding Info'!A21="","",'ℹ️ Wedding Info'!B21&amp;"")</f>
        <v>+91 90000 11122</v>
      </c>
      <c r="D10" s="68"/>
      <c r="E10" s="68" t="str">
        <f aca="false">IF('ℹ️ Wedding Info'!A21="","",'ℹ️ Wedding Info'!C21&amp;"")</f>
        <v>Confirm final count 1 week prior</v>
      </c>
    </row>
    <row r="11" customFormat="false" ht="15" hidden="false" customHeight="false" outlineLevel="0" collapsed="false">
      <c r="A11" s="68" t="str">
        <f aca="false">IF('ℹ️ Wedding Info'!A22="","",'ℹ️ Wedding Info'!A22&amp;"")</f>
        <v/>
      </c>
      <c r="B11" s="68" t="str">
        <f aca="false">IF('ℹ️ Wedding Info'!A22="","","Important Number")</f>
        <v/>
      </c>
      <c r="C11" s="68" t="str">
        <f aca="false">IF('ℹ️ Wedding Info'!A22="","",'ℹ️ Wedding Info'!B22&amp;"")</f>
        <v/>
      </c>
      <c r="D11" s="68"/>
      <c r="E11" s="68" t="str">
        <f aca="false">IF('ℹ️ Wedding Info'!A22="","",'ℹ️ Wedding Info'!C22&amp;"")</f>
        <v/>
      </c>
    </row>
    <row r="12" customFormat="false" ht="15" hidden="false" customHeight="false" outlineLevel="0" collapsed="false">
      <c r="A12" s="68" t="str">
        <f aca="false">IF('ℹ️ Wedding Info'!A23="","",'ℹ️ Wedding Info'!A23&amp;"")</f>
        <v/>
      </c>
      <c r="B12" s="68" t="str">
        <f aca="false">IF('ℹ️ Wedding Info'!A23="","","Important Number")</f>
        <v/>
      </c>
      <c r="C12" s="68" t="str">
        <f aca="false">IF('ℹ️ Wedding Info'!A23="","",'ℹ️ Wedding Info'!B23&amp;"")</f>
        <v/>
      </c>
      <c r="D12" s="68"/>
      <c r="E12" s="68" t="str">
        <f aca="false">IF('ℹ️ Wedding Info'!A23="","",'ℹ️ Wedding Info'!C23&amp;"")</f>
        <v/>
      </c>
    </row>
    <row r="13" customFormat="false" ht="15" hidden="false" customHeight="false" outlineLevel="0" collapsed="false">
      <c r="A13" s="68" t="str">
        <f aca="false">IF('ℹ️ Wedding Info'!A24="","",'ℹ️ Wedding Info'!A24&amp;"")</f>
        <v/>
      </c>
      <c r="B13" s="68" t="str">
        <f aca="false">IF('ℹ️ Wedding Info'!A24="","","Important Number")</f>
        <v/>
      </c>
      <c r="C13" s="68" t="str">
        <f aca="false">IF('ℹ️ Wedding Info'!A24="","",'ℹ️ Wedding Info'!B24&amp;"")</f>
        <v/>
      </c>
      <c r="D13" s="68"/>
      <c r="E13" s="68" t="str">
        <f aca="false">IF('ℹ️ Wedding Info'!A24="","",'ℹ️ Wedding Info'!C24&amp;"")</f>
        <v/>
      </c>
    </row>
    <row r="14" customFormat="false" ht="15" hidden="false" customHeight="false" outlineLevel="0" collapsed="false">
      <c r="A14" s="68" t="str">
        <f aca="false">IF('ℹ️ Wedding Info'!A25="","",'ℹ️ Wedding Info'!A25&amp;"")</f>
        <v/>
      </c>
      <c r="B14" s="68" t="str">
        <f aca="false">IF('ℹ️ Wedding Info'!A25="","","Important Number")</f>
        <v/>
      </c>
      <c r="C14" s="68" t="str">
        <f aca="false">IF('ℹ️ Wedding Info'!A25="","",'ℹ️ Wedding Info'!B25&amp;"")</f>
        <v/>
      </c>
      <c r="D14" s="68"/>
      <c r="E14" s="68" t="str">
        <f aca="false">IF('ℹ️ Wedding Info'!A25="","",'ℹ️ Wedding Info'!C25&amp;"")</f>
        <v/>
      </c>
    </row>
    <row r="16" customFormat="false" ht="15" hidden="false" customHeight="false" outlineLevel="0" collapsed="false">
      <c r="A16" s="37" t="s">
        <v>306</v>
      </c>
      <c r="B16" s="37"/>
      <c r="C16" s="37"/>
      <c r="D16" s="37"/>
      <c r="E16" s="37"/>
    </row>
    <row r="17" customFormat="false" ht="21.75" hidden="false" customHeight="true" outlineLevel="0" collapsed="false">
      <c r="A17" s="42" t="s">
        <v>189</v>
      </c>
      <c r="B17" s="42" t="s">
        <v>305</v>
      </c>
      <c r="C17" s="42" t="s">
        <v>191</v>
      </c>
      <c r="D17" s="42" t="s">
        <v>245</v>
      </c>
      <c r="E17" s="42" t="s">
        <v>192</v>
      </c>
    </row>
    <row r="18" customFormat="false" ht="15" hidden="false" customHeight="false" outlineLevel="0" collapsed="false">
      <c r="A18" s="68" t="str">
        <f aca="false">IF('🏪 Vendors'!A4="","",'🏪 Vendors'!A4&amp;"")</f>
        <v>Grand Palace Banquets</v>
      </c>
      <c r="B18" s="68" t="str">
        <f aca="false">IF('🏪 Vendors'!A4="","",'🏪 Vendors'!B4&amp;" Vendor")</f>
        <v>Hall Vendor</v>
      </c>
      <c r="C18" s="68" t="str">
        <f aca="false">IF('🏪 Vendors'!A4="","",'🏪 Vendors'!D4&amp;"")</f>
        <v>+91 90000 22233</v>
      </c>
      <c r="D18" s="68" t="str">
        <f aca="false">IF('🏪 Vendors'!A4="","",'🏪 Vendors'!E4&amp;"")</f>
        <v/>
      </c>
      <c r="E18" s="68" t="str">
        <f aca="false">IF('🏪 Vendors'!A4="","","Handled by "&amp;'🏪 Vendors'!C4)</f>
        <v>Handled by Father</v>
      </c>
    </row>
    <row r="19" customFormat="false" ht="15" hidden="false" customHeight="false" outlineLevel="0" collapsed="false">
      <c r="A19" s="68" t="str">
        <f aca="false">IF('🏪 Vendors'!A5="","",'🏪 Vendors'!A5&amp;"")</f>
        <v/>
      </c>
      <c r="B19" s="68" t="str">
        <f aca="false">IF('🏪 Vendors'!A5="","",'🏪 Vendors'!B5&amp;" Vendor")</f>
        <v/>
      </c>
      <c r="C19" s="68" t="str">
        <f aca="false">IF('🏪 Vendors'!A5="","",'🏪 Vendors'!D5&amp;"")</f>
        <v/>
      </c>
      <c r="D19" s="68" t="str">
        <f aca="false">IF('🏪 Vendors'!A5="","",'🏪 Vendors'!E5&amp;"")</f>
        <v/>
      </c>
      <c r="E19" s="68" t="str">
        <f aca="false">IF('🏪 Vendors'!A5="","","Handled by "&amp;'🏪 Vendors'!C5)</f>
        <v/>
      </c>
    </row>
    <row r="20" customFormat="false" ht="15" hidden="false" customHeight="false" outlineLevel="0" collapsed="false">
      <c r="A20" s="68" t="str">
        <f aca="false">IF('🏪 Vendors'!A6="","",'🏪 Vendors'!A6&amp;"")</f>
        <v/>
      </c>
      <c r="B20" s="68" t="str">
        <f aca="false">IF('🏪 Vendors'!A6="","",'🏪 Vendors'!B6&amp;" Vendor")</f>
        <v/>
      </c>
      <c r="C20" s="68" t="str">
        <f aca="false">IF('🏪 Vendors'!A6="","",'🏪 Vendors'!D6&amp;"")</f>
        <v/>
      </c>
      <c r="D20" s="68" t="str">
        <f aca="false">IF('🏪 Vendors'!A6="","",'🏪 Vendors'!E6&amp;"")</f>
        <v/>
      </c>
      <c r="E20" s="68" t="str">
        <f aca="false">IF('🏪 Vendors'!A6="","","Handled by "&amp;'🏪 Vendors'!C6)</f>
        <v/>
      </c>
    </row>
    <row r="21" customFormat="false" ht="15" hidden="false" customHeight="false" outlineLevel="0" collapsed="false">
      <c r="A21" s="68" t="str">
        <f aca="false">IF('🏪 Vendors'!A7="","",'🏪 Vendors'!A7&amp;"")</f>
        <v/>
      </c>
      <c r="B21" s="68" t="str">
        <f aca="false">IF('🏪 Vendors'!A7="","",'🏪 Vendors'!B7&amp;" Vendor")</f>
        <v/>
      </c>
      <c r="C21" s="68" t="str">
        <f aca="false">IF('🏪 Vendors'!A7="","",'🏪 Vendors'!D7&amp;"")</f>
        <v/>
      </c>
      <c r="D21" s="68" t="str">
        <f aca="false">IF('🏪 Vendors'!A7="","",'🏪 Vendors'!E7&amp;"")</f>
        <v/>
      </c>
      <c r="E21" s="68" t="str">
        <f aca="false">IF('🏪 Vendors'!A7="","","Handled by "&amp;'🏪 Vendors'!C7)</f>
        <v/>
      </c>
    </row>
    <row r="22" customFormat="false" ht="15" hidden="false" customHeight="false" outlineLevel="0" collapsed="false">
      <c r="A22" s="68" t="str">
        <f aca="false">IF('🏪 Vendors'!A8="","",'🏪 Vendors'!A8&amp;"")</f>
        <v/>
      </c>
      <c r="B22" s="68" t="str">
        <f aca="false">IF('🏪 Vendors'!A8="","",'🏪 Vendors'!B8&amp;" Vendor")</f>
        <v/>
      </c>
      <c r="C22" s="68" t="str">
        <f aca="false">IF('🏪 Vendors'!A8="","",'🏪 Vendors'!D8&amp;"")</f>
        <v/>
      </c>
      <c r="D22" s="68" t="str">
        <f aca="false">IF('🏪 Vendors'!A8="","",'🏪 Vendors'!E8&amp;"")</f>
        <v/>
      </c>
      <c r="E22" s="68" t="str">
        <f aca="false">IF('🏪 Vendors'!A8="","","Handled by "&amp;'🏪 Vendors'!C8)</f>
        <v/>
      </c>
    </row>
    <row r="23" customFormat="false" ht="15" hidden="false" customHeight="false" outlineLevel="0" collapsed="false">
      <c r="A23" s="68" t="str">
        <f aca="false">IF('🏪 Vendors'!A9="","",'🏪 Vendors'!A9&amp;"")</f>
        <v/>
      </c>
      <c r="B23" s="68" t="str">
        <f aca="false">IF('🏪 Vendors'!A9="","",'🏪 Vendors'!B9&amp;" Vendor")</f>
        <v/>
      </c>
      <c r="C23" s="68" t="str">
        <f aca="false">IF('🏪 Vendors'!A9="","",'🏪 Vendors'!D9&amp;"")</f>
        <v/>
      </c>
      <c r="D23" s="68" t="str">
        <f aca="false">IF('🏪 Vendors'!A9="","",'🏪 Vendors'!E9&amp;"")</f>
        <v/>
      </c>
      <c r="E23" s="68" t="str">
        <f aca="false">IF('🏪 Vendors'!A9="","","Handled by "&amp;'🏪 Vendors'!C9)</f>
        <v/>
      </c>
    </row>
    <row r="24" customFormat="false" ht="15" hidden="false" customHeight="false" outlineLevel="0" collapsed="false">
      <c r="A24" s="68" t="str">
        <f aca="false">IF('🏪 Vendors'!A10="","",'🏪 Vendors'!A10&amp;"")</f>
        <v/>
      </c>
      <c r="B24" s="68" t="str">
        <f aca="false">IF('🏪 Vendors'!A10="","",'🏪 Vendors'!B10&amp;" Vendor")</f>
        <v/>
      </c>
      <c r="C24" s="68" t="str">
        <f aca="false">IF('🏪 Vendors'!A10="","",'🏪 Vendors'!D10&amp;"")</f>
        <v/>
      </c>
      <c r="D24" s="68" t="str">
        <f aca="false">IF('🏪 Vendors'!A10="","",'🏪 Vendors'!E10&amp;"")</f>
        <v/>
      </c>
      <c r="E24" s="68" t="str">
        <f aca="false">IF('🏪 Vendors'!A10="","","Handled by "&amp;'🏪 Vendors'!C10)</f>
        <v/>
      </c>
    </row>
    <row r="25" customFormat="false" ht="15" hidden="false" customHeight="false" outlineLevel="0" collapsed="false">
      <c r="A25" s="68" t="str">
        <f aca="false">IF('🏪 Vendors'!A11="","",'🏪 Vendors'!A11&amp;"")</f>
        <v/>
      </c>
      <c r="B25" s="68" t="str">
        <f aca="false">IF('🏪 Vendors'!A11="","",'🏪 Vendors'!B11&amp;" Vendor")</f>
        <v/>
      </c>
      <c r="C25" s="68" t="str">
        <f aca="false">IF('🏪 Vendors'!A11="","",'🏪 Vendors'!D11&amp;"")</f>
        <v/>
      </c>
      <c r="D25" s="68" t="str">
        <f aca="false">IF('🏪 Vendors'!A11="","",'🏪 Vendors'!E11&amp;"")</f>
        <v/>
      </c>
      <c r="E25" s="68" t="str">
        <f aca="false">IF('🏪 Vendors'!A11="","","Handled by "&amp;'🏪 Vendors'!C11)</f>
        <v/>
      </c>
    </row>
    <row r="26" customFormat="false" ht="15" hidden="false" customHeight="false" outlineLevel="0" collapsed="false">
      <c r="A26" s="68" t="str">
        <f aca="false">IF('🏪 Vendors'!A12="","",'🏪 Vendors'!A12&amp;"")</f>
        <v/>
      </c>
      <c r="B26" s="68" t="str">
        <f aca="false">IF('🏪 Vendors'!A12="","",'🏪 Vendors'!B12&amp;" Vendor")</f>
        <v/>
      </c>
      <c r="C26" s="68" t="str">
        <f aca="false">IF('🏪 Vendors'!A12="","",'🏪 Vendors'!D12&amp;"")</f>
        <v/>
      </c>
      <c r="D26" s="68" t="str">
        <f aca="false">IF('🏪 Vendors'!A12="","",'🏪 Vendors'!E12&amp;"")</f>
        <v/>
      </c>
      <c r="E26" s="68" t="str">
        <f aca="false">IF('🏪 Vendors'!A12="","","Handled by "&amp;'🏪 Vendors'!C12)</f>
        <v/>
      </c>
    </row>
    <row r="27" customFormat="false" ht="15" hidden="false" customHeight="false" outlineLevel="0" collapsed="false">
      <c r="A27" s="68" t="str">
        <f aca="false">IF('🏪 Vendors'!A13="","",'🏪 Vendors'!A13&amp;"")</f>
        <v/>
      </c>
      <c r="B27" s="68" t="str">
        <f aca="false">IF('🏪 Vendors'!A13="","",'🏪 Vendors'!B13&amp;" Vendor")</f>
        <v/>
      </c>
      <c r="C27" s="68" t="str">
        <f aca="false">IF('🏪 Vendors'!A13="","",'🏪 Vendors'!D13&amp;"")</f>
        <v/>
      </c>
      <c r="D27" s="68" t="str">
        <f aca="false">IF('🏪 Vendors'!A13="","",'🏪 Vendors'!E13&amp;"")</f>
        <v/>
      </c>
      <c r="E27" s="68" t="str">
        <f aca="false">IF('🏪 Vendors'!A13="","","Handled by "&amp;'🏪 Vendors'!C13)</f>
        <v/>
      </c>
    </row>
    <row r="28" customFormat="false" ht="15" hidden="false" customHeight="false" outlineLevel="0" collapsed="false">
      <c r="A28" s="68" t="str">
        <f aca="false">IF('🏪 Vendors'!A14="","",'🏪 Vendors'!A14&amp;"")</f>
        <v/>
      </c>
      <c r="B28" s="68" t="str">
        <f aca="false">IF('🏪 Vendors'!A14="","",'🏪 Vendors'!B14&amp;" Vendor")</f>
        <v/>
      </c>
      <c r="C28" s="68" t="str">
        <f aca="false">IF('🏪 Vendors'!A14="","",'🏪 Vendors'!D14&amp;"")</f>
        <v/>
      </c>
      <c r="D28" s="68" t="str">
        <f aca="false">IF('🏪 Vendors'!A14="","",'🏪 Vendors'!E14&amp;"")</f>
        <v/>
      </c>
      <c r="E28" s="68" t="str">
        <f aca="false">IF('🏪 Vendors'!A14="","","Handled by "&amp;'🏪 Vendors'!C14)</f>
        <v/>
      </c>
    </row>
    <row r="29" customFormat="false" ht="15" hidden="false" customHeight="false" outlineLevel="0" collapsed="false">
      <c r="A29" s="68" t="str">
        <f aca="false">IF('🏪 Vendors'!A15="","",'🏪 Vendors'!A15&amp;"")</f>
        <v/>
      </c>
      <c r="B29" s="68" t="str">
        <f aca="false">IF('🏪 Vendors'!A15="","",'🏪 Vendors'!B15&amp;" Vendor")</f>
        <v/>
      </c>
      <c r="C29" s="68" t="str">
        <f aca="false">IF('🏪 Vendors'!A15="","",'🏪 Vendors'!D15&amp;"")</f>
        <v/>
      </c>
      <c r="D29" s="68" t="str">
        <f aca="false">IF('🏪 Vendors'!A15="","",'🏪 Vendors'!E15&amp;"")</f>
        <v/>
      </c>
      <c r="E29" s="68" t="str">
        <f aca="false">IF('🏪 Vendors'!A15="","","Handled by "&amp;'🏪 Vendors'!C15)</f>
        <v/>
      </c>
    </row>
    <row r="30" customFormat="false" ht="15" hidden="false" customHeight="false" outlineLevel="0" collapsed="false">
      <c r="A30" s="68" t="str">
        <f aca="false">IF('🏪 Vendors'!A16="","",'🏪 Vendors'!A16&amp;"")</f>
        <v/>
      </c>
      <c r="B30" s="68" t="str">
        <f aca="false">IF('🏪 Vendors'!A16="","",'🏪 Vendors'!B16&amp;" Vendor")</f>
        <v/>
      </c>
      <c r="C30" s="68" t="str">
        <f aca="false">IF('🏪 Vendors'!A16="","",'🏪 Vendors'!D16&amp;"")</f>
        <v/>
      </c>
      <c r="D30" s="68" t="str">
        <f aca="false">IF('🏪 Vendors'!A16="","",'🏪 Vendors'!E16&amp;"")</f>
        <v/>
      </c>
      <c r="E30" s="68" t="str">
        <f aca="false">IF('🏪 Vendors'!A16="","","Handled by "&amp;'🏪 Vendors'!C16)</f>
        <v/>
      </c>
    </row>
    <row r="31" customFormat="false" ht="15" hidden="false" customHeight="false" outlineLevel="0" collapsed="false">
      <c r="A31" s="68" t="str">
        <f aca="false">IF('🏪 Vendors'!A17="","",'🏪 Vendors'!A17&amp;"")</f>
        <v/>
      </c>
      <c r="B31" s="68" t="str">
        <f aca="false">IF('🏪 Vendors'!A17="","",'🏪 Vendors'!B17&amp;" Vendor")</f>
        <v/>
      </c>
      <c r="C31" s="68" t="str">
        <f aca="false">IF('🏪 Vendors'!A17="","",'🏪 Vendors'!D17&amp;"")</f>
        <v/>
      </c>
      <c r="D31" s="68" t="str">
        <f aca="false">IF('🏪 Vendors'!A17="","",'🏪 Vendors'!E17&amp;"")</f>
        <v/>
      </c>
      <c r="E31" s="68" t="str">
        <f aca="false">IF('🏪 Vendors'!A17="","","Handled by "&amp;'🏪 Vendors'!C17)</f>
        <v/>
      </c>
    </row>
    <row r="32" customFormat="false" ht="15" hidden="false" customHeight="false" outlineLevel="0" collapsed="false">
      <c r="A32" s="68" t="str">
        <f aca="false">IF('🏪 Vendors'!A18="","",'🏪 Vendors'!A18&amp;"")</f>
        <v/>
      </c>
      <c r="B32" s="68" t="str">
        <f aca="false">IF('🏪 Vendors'!A18="","",'🏪 Vendors'!B18&amp;" Vendor")</f>
        <v/>
      </c>
      <c r="C32" s="68" t="str">
        <f aca="false">IF('🏪 Vendors'!A18="","",'🏪 Vendors'!D18&amp;"")</f>
        <v/>
      </c>
      <c r="D32" s="68" t="str">
        <f aca="false">IF('🏪 Vendors'!A18="","",'🏪 Vendors'!E18&amp;"")</f>
        <v/>
      </c>
      <c r="E32" s="68" t="str">
        <f aca="false">IF('🏪 Vendors'!A18="","","Handled by "&amp;'🏪 Vendors'!C18)</f>
        <v/>
      </c>
    </row>
    <row r="33" customFormat="false" ht="15" hidden="false" customHeight="false" outlineLevel="0" collapsed="false">
      <c r="A33" s="68" t="str">
        <f aca="false">IF('🏪 Vendors'!A19="","",'🏪 Vendors'!A19&amp;"")</f>
        <v/>
      </c>
      <c r="B33" s="68" t="str">
        <f aca="false">IF('🏪 Vendors'!A19="","",'🏪 Vendors'!B19&amp;" Vendor")</f>
        <v/>
      </c>
      <c r="C33" s="68" t="str">
        <f aca="false">IF('🏪 Vendors'!A19="","",'🏪 Vendors'!D19&amp;"")</f>
        <v/>
      </c>
      <c r="D33" s="68" t="str">
        <f aca="false">IF('🏪 Vendors'!A19="","",'🏪 Vendors'!E19&amp;"")</f>
        <v/>
      </c>
      <c r="E33" s="68" t="str">
        <f aca="false">IF('🏪 Vendors'!A19="","","Handled by "&amp;'🏪 Vendors'!C19)</f>
        <v/>
      </c>
    </row>
    <row r="34" customFormat="false" ht="15" hidden="false" customHeight="false" outlineLevel="0" collapsed="false">
      <c r="A34" s="68" t="str">
        <f aca="false">IF('🏪 Vendors'!A20="","",'🏪 Vendors'!A20&amp;"")</f>
        <v/>
      </c>
      <c r="B34" s="68" t="str">
        <f aca="false">IF('🏪 Vendors'!A20="","",'🏪 Vendors'!B20&amp;" Vendor")</f>
        <v/>
      </c>
      <c r="C34" s="68" t="str">
        <f aca="false">IF('🏪 Vendors'!A20="","",'🏪 Vendors'!D20&amp;"")</f>
        <v/>
      </c>
      <c r="D34" s="68" t="str">
        <f aca="false">IF('🏪 Vendors'!A20="","",'🏪 Vendors'!E20&amp;"")</f>
        <v/>
      </c>
      <c r="E34" s="68" t="str">
        <f aca="false">IF('🏪 Vendors'!A20="","","Handled by "&amp;'🏪 Vendors'!C20)</f>
        <v/>
      </c>
    </row>
    <row r="35" customFormat="false" ht="15" hidden="false" customHeight="false" outlineLevel="0" collapsed="false">
      <c r="A35" s="68" t="str">
        <f aca="false">IF('🏪 Vendors'!A21="","",'🏪 Vendors'!A21&amp;"")</f>
        <v/>
      </c>
      <c r="B35" s="68" t="str">
        <f aca="false">IF('🏪 Vendors'!A21="","",'🏪 Vendors'!B21&amp;" Vendor")</f>
        <v/>
      </c>
      <c r="C35" s="68" t="str">
        <f aca="false">IF('🏪 Vendors'!A21="","",'🏪 Vendors'!D21&amp;"")</f>
        <v/>
      </c>
      <c r="D35" s="68" t="str">
        <f aca="false">IF('🏪 Vendors'!A21="","",'🏪 Vendors'!E21&amp;"")</f>
        <v/>
      </c>
      <c r="E35" s="68" t="str">
        <f aca="false">IF('🏪 Vendors'!A21="","","Handled by "&amp;'🏪 Vendors'!C21)</f>
        <v/>
      </c>
    </row>
    <row r="36" customFormat="false" ht="15" hidden="false" customHeight="false" outlineLevel="0" collapsed="false">
      <c r="A36" s="68" t="str">
        <f aca="false">IF('🏪 Vendors'!A22="","",'🏪 Vendors'!A22&amp;"")</f>
        <v/>
      </c>
      <c r="B36" s="68" t="str">
        <f aca="false">IF('🏪 Vendors'!A22="","",'🏪 Vendors'!B22&amp;" Vendor")</f>
        <v/>
      </c>
      <c r="C36" s="68" t="str">
        <f aca="false">IF('🏪 Vendors'!A22="","",'🏪 Vendors'!D22&amp;"")</f>
        <v/>
      </c>
      <c r="D36" s="68" t="str">
        <f aca="false">IF('🏪 Vendors'!A22="","",'🏪 Vendors'!E22&amp;"")</f>
        <v/>
      </c>
      <c r="E36" s="68" t="str">
        <f aca="false">IF('🏪 Vendors'!A22="","","Handled by "&amp;'🏪 Vendors'!C22)</f>
        <v/>
      </c>
    </row>
    <row r="37" customFormat="false" ht="15" hidden="false" customHeight="false" outlineLevel="0" collapsed="false">
      <c r="A37" s="68" t="str">
        <f aca="false">IF('🏪 Vendors'!A23="","",'🏪 Vendors'!A23&amp;"")</f>
        <v/>
      </c>
      <c r="B37" s="68" t="str">
        <f aca="false">IF('🏪 Vendors'!A23="","",'🏪 Vendors'!B23&amp;" Vendor")</f>
        <v/>
      </c>
      <c r="C37" s="68" t="str">
        <f aca="false">IF('🏪 Vendors'!A23="","",'🏪 Vendors'!D23&amp;"")</f>
        <v/>
      </c>
      <c r="D37" s="68" t="str">
        <f aca="false">IF('🏪 Vendors'!A23="","",'🏪 Vendors'!E23&amp;"")</f>
        <v/>
      </c>
      <c r="E37" s="68" t="str">
        <f aca="false">IF('🏪 Vendors'!A23="","","Handled by "&amp;'🏪 Vendors'!C23)</f>
        <v/>
      </c>
    </row>
    <row r="38" customFormat="false" ht="15" hidden="false" customHeight="false" outlineLevel="0" collapsed="false">
      <c r="A38" s="68" t="str">
        <f aca="false">IF('🏪 Vendors'!A24="","",'🏪 Vendors'!A24&amp;"")</f>
        <v/>
      </c>
      <c r="B38" s="68" t="str">
        <f aca="false">IF('🏪 Vendors'!A24="","",'🏪 Vendors'!B24&amp;" Vendor")</f>
        <v/>
      </c>
      <c r="C38" s="68" t="str">
        <f aca="false">IF('🏪 Vendors'!A24="","",'🏪 Vendors'!D24&amp;"")</f>
        <v/>
      </c>
      <c r="D38" s="68" t="str">
        <f aca="false">IF('🏪 Vendors'!A24="","",'🏪 Vendors'!E24&amp;"")</f>
        <v/>
      </c>
      <c r="E38" s="68" t="str">
        <f aca="false">IF('🏪 Vendors'!A24="","","Handled by "&amp;'🏪 Vendors'!C24)</f>
        <v/>
      </c>
    </row>
    <row r="39" customFormat="false" ht="15" hidden="false" customHeight="false" outlineLevel="0" collapsed="false">
      <c r="A39" s="68" t="str">
        <f aca="false">IF('🏪 Vendors'!A25="","",'🏪 Vendors'!A25&amp;"")</f>
        <v/>
      </c>
      <c r="B39" s="68" t="str">
        <f aca="false">IF('🏪 Vendors'!A25="","",'🏪 Vendors'!B25&amp;" Vendor")</f>
        <v/>
      </c>
      <c r="C39" s="68" t="str">
        <f aca="false">IF('🏪 Vendors'!A25="","",'🏪 Vendors'!D25&amp;"")</f>
        <v/>
      </c>
      <c r="D39" s="68" t="str">
        <f aca="false">IF('🏪 Vendors'!A25="","",'🏪 Vendors'!E25&amp;"")</f>
        <v/>
      </c>
      <c r="E39" s="68" t="str">
        <f aca="false">IF('🏪 Vendors'!A25="","","Handled by "&amp;'🏪 Vendors'!C25)</f>
        <v/>
      </c>
    </row>
    <row r="40" customFormat="false" ht="15" hidden="false" customHeight="false" outlineLevel="0" collapsed="false">
      <c r="A40" s="68" t="str">
        <f aca="false">IF('🏪 Vendors'!A26="","",'🏪 Vendors'!A26&amp;"")</f>
        <v/>
      </c>
      <c r="B40" s="68" t="str">
        <f aca="false">IF('🏪 Vendors'!A26="","",'🏪 Vendors'!B26&amp;" Vendor")</f>
        <v/>
      </c>
      <c r="C40" s="68" t="str">
        <f aca="false">IF('🏪 Vendors'!A26="","",'🏪 Vendors'!D26&amp;"")</f>
        <v/>
      </c>
      <c r="D40" s="68" t="str">
        <f aca="false">IF('🏪 Vendors'!A26="","",'🏪 Vendors'!E26&amp;"")</f>
        <v/>
      </c>
      <c r="E40" s="68" t="str">
        <f aca="false">IF('🏪 Vendors'!A26="","","Handled by "&amp;'🏪 Vendors'!C26)</f>
        <v/>
      </c>
    </row>
    <row r="41" customFormat="false" ht="15" hidden="false" customHeight="false" outlineLevel="0" collapsed="false">
      <c r="A41" s="68" t="str">
        <f aca="false">IF('🏪 Vendors'!A27="","",'🏪 Vendors'!A27&amp;"")</f>
        <v/>
      </c>
      <c r="B41" s="68" t="str">
        <f aca="false">IF('🏪 Vendors'!A27="","",'🏪 Vendors'!B27&amp;" Vendor")</f>
        <v/>
      </c>
      <c r="C41" s="68" t="str">
        <f aca="false">IF('🏪 Vendors'!A27="","",'🏪 Vendors'!D27&amp;"")</f>
        <v/>
      </c>
      <c r="D41" s="68" t="str">
        <f aca="false">IF('🏪 Vendors'!A27="","",'🏪 Vendors'!E27&amp;"")</f>
        <v/>
      </c>
      <c r="E41" s="68" t="str">
        <f aca="false">IF('🏪 Vendors'!A27="","","Handled by "&amp;'🏪 Vendors'!C27)</f>
        <v/>
      </c>
    </row>
    <row r="42" customFormat="false" ht="15" hidden="false" customHeight="false" outlineLevel="0" collapsed="false">
      <c r="A42" s="68" t="str">
        <f aca="false">IF('🏪 Vendors'!A28="","",'🏪 Vendors'!A28&amp;"")</f>
        <v/>
      </c>
      <c r="B42" s="68" t="str">
        <f aca="false">IF('🏪 Vendors'!A28="","",'🏪 Vendors'!B28&amp;" Vendor")</f>
        <v/>
      </c>
      <c r="C42" s="68" t="str">
        <f aca="false">IF('🏪 Vendors'!A28="","",'🏪 Vendors'!D28&amp;"")</f>
        <v/>
      </c>
      <c r="D42" s="68" t="str">
        <f aca="false">IF('🏪 Vendors'!A28="","",'🏪 Vendors'!E28&amp;"")</f>
        <v/>
      </c>
      <c r="E42" s="68" t="str">
        <f aca="false">IF('🏪 Vendors'!A28="","","Handled by "&amp;'🏪 Vendors'!C28)</f>
        <v/>
      </c>
    </row>
    <row r="43" customFormat="false" ht="15" hidden="false" customHeight="false" outlineLevel="0" collapsed="false">
      <c r="A43" s="68" t="str">
        <f aca="false">IF('🏪 Vendors'!A29="","",'🏪 Vendors'!A29&amp;"")</f>
        <v/>
      </c>
      <c r="B43" s="68" t="str">
        <f aca="false">IF('🏪 Vendors'!A29="","",'🏪 Vendors'!B29&amp;" Vendor")</f>
        <v/>
      </c>
      <c r="C43" s="68" t="str">
        <f aca="false">IF('🏪 Vendors'!A29="","",'🏪 Vendors'!D29&amp;"")</f>
        <v/>
      </c>
      <c r="D43" s="68" t="str">
        <f aca="false">IF('🏪 Vendors'!A29="","",'🏪 Vendors'!E29&amp;"")</f>
        <v/>
      </c>
      <c r="E43" s="68" t="str">
        <f aca="false">IF('🏪 Vendors'!A29="","","Handled by "&amp;'🏪 Vendors'!C29)</f>
        <v/>
      </c>
    </row>
    <row r="44" customFormat="false" ht="15" hidden="false" customHeight="false" outlineLevel="0" collapsed="false">
      <c r="A44" s="68" t="str">
        <f aca="false">IF('🏪 Vendors'!A30="","",'🏪 Vendors'!A30&amp;"")</f>
        <v/>
      </c>
      <c r="B44" s="68" t="str">
        <f aca="false">IF('🏪 Vendors'!A30="","",'🏪 Vendors'!B30&amp;" Vendor")</f>
        <v/>
      </c>
      <c r="C44" s="68" t="str">
        <f aca="false">IF('🏪 Vendors'!A30="","",'🏪 Vendors'!D30&amp;"")</f>
        <v/>
      </c>
      <c r="D44" s="68" t="str">
        <f aca="false">IF('🏪 Vendors'!A30="","",'🏪 Vendors'!E30&amp;"")</f>
        <v/>
      </c>
      <c r="E44" s="68" t="str">
        <f aca="false">IF('🏪 Vendors'!A30="","","Handled by "&amp;'🏪 Vendors'!C30)</f>
        <v/>
      </c>
    </row>
    <row r="45" customFormat="false" ht="15" hidden="false" customHeight="false" outlineLevel="0" collapsed="false">
      <c r="A45" s="68" t="str">
        <f aca="false">IF('🏪 Vendors'!A31="","",'🏪 Vendors'!A31&amp;"")</f>
        <v/>
      </c>
      <c r="B45" s="68" t="str">
        <f aca="false">IF('🏪 Vendors'!A31="","",'🏪 Vendors'!B31&amp;" Vendor")</f>
        <v/>
      </c>
      <c r="C45" s="68" t="str">
        <f aca="false">IF('🏪 Vendors'!A31="","",'🏪 Vendors'!D31&amp;"")</f>
        <v/>
      </c>
      <c r="D45" s="68" t="str">
        <f aca="false">IF('🏪 Vendors'!A31="","",'🏪 Vendors'!E31&amp;"")</f>
        <v/>
      </c>
      <c r="E45" s="68" t="str">
        <f aca="false">IF('🏪 Vendors'!A31="","","Handled by "&amp;'🏪 Vendors'!C31)</f>
        <v/>
      </c>
    </row>
    <row r="46" customFormat="false" ht="15" hidden="false" customHeight="false" outlineLevel="0" collapsed="false">
      <c r="A46" s="68" t="str">
        <f aca="false">IF('🏪 Vendors'!A32="","",'🏪 Vendors'!A32&amp;"")</f>
        <v/>
      </c>
      <c r="B46" s="68" t="str">
        <f aca="false">IF('🏪 Vendors'!A32="","",'🏪 Vendors'!B32&amp;" Vendor")</f>
        <v/>
      </c>
      <c r="C46" s="68" t="str">
        <f aca="false">IF('🏪 Vendors'!A32="","",'🏪 Vendors'!D32&amp;"")</f>
        <v/>
      </c>
      <c r="D46" s="68" t="str">
        <f aca="false">IF('🏪 Vendors'!A32="","",'🏪 Vendors'!E32&amp;"")</f>
        <v/>
      </c>
      <c r="E46" s="68" t="str">
        <f aca="false">IF('🏪 Vendors'!A32="","","Handled by "&amp;'🏪 Vendors'!C32)</f>
        <v/>
      </c>
    </row>
    <row r="47" customFormat="false" ht="15" hidden="false" customHeight="false" outlineLevel="0" collapsed="false">
      <c r="A47" s="68" t="str">
        <f aca="false">IF('🏪 Vendors'!A33="","",'🏪 Vendors'!A33&amp;"")</f>
        <v/>
      </c>
      <c r="B47" s="68" t="str">
        <f aca="false">IF('🏪 Vendors'!A33="","",'🏪 Vendors'!B33&amp;" Vendor")</f>
        <v/>
      </c>
      <c r="C47" s="68" t="str">
        <f aca="false">IF('🏪 Vendors'!A33="","",'🏪 Vendors'!D33&amp;"")</f>
        <v/>
      </c>
      <c r="D47" s="68" t="str">
        <f aca="false">IF('🏪 Vendors'!A33="","",'🏪 Vendors'!E33&amp;"")</f>
        <v/>
      </c>
      <c r="E47" s="68" t="str">
        <f aca="false">IF('🏪 Vendors'!A33="","","Handled by "&amp;'🏪 Vendors'!C33)</f>
        <v/>
      </c>
    </row>
    <row r="48" customFormat="false" ht="15" hidden="false" customHeight="false" outlineLevel="0" collapsed="false">
      <c r="A48" s="68" t="str">
        <f aca="false">IF('🏪 Vendors'!A34="","",'🏪 Vendors'!A34&amp;"")</f>
        <v/>
      </c>
      <c r="B48" s="68" t="str">
        <f aca="false">IF('🏪 Vendors'!A34="","",'🏪 Vendors'!B34&amp;" Vendor")</f>
        <v/>
      </c>
      <c r="C48" s="68" t="str">
        <f aca="false">IF('🏪 Vendors'!A34="","",'🏪 Vendors'!D34&amp;"")</f>
        <v/>
      </c>
      <c r="D48" s="68" t="str">
        <f aca="false">IF('🏪 Vendors'!A34="","",'🏪 Vendors'!E34&amp;"")</f>
        <v/>
      </c>
      <c r="E48" s="68" t="str">
        <f aca="false">IF('🏪 Vendors'!A34="","","Handled by "&amp;'🏪 Vendors'!C34)</f>
        <v/>
      </c>
    </row>
    <row r="49" customFormat="false" ht="15" hidden="false" customHeight="false" outlineLevel="0" collapsed="false">
      <c r="A49" s="68" t="str">
        <f aca="false">IF('🏪 Vendors'!A35="","",'🏪 Vendors'!A35&amp;"")</f>
        <v/>
      </c>
      <c r="B49" s="68" t="str">
        <f aca="false">IF('🏪 Vendors'!A35="","",'🏪 Vendors'!B35&amp;" Vendor")</f>
        <v/>
      </c>
      <c r="C49" s="68" t="str">
        <f aca="false">IF('🏪 Vendors'!A35="","",'🏪 Vendors'!D35&amp;"")</f>
        <v/>
      </c>
      <c r="D49" s="68" t="str">
        <f aca="false">IF('🏪 Vendors'!A35="","",'🏪 Vendors'!E35&amp;"")</f>
        <v/>
      </c>
      <c r="E49" s="68" t="str">
        <f aca="false">IF('🏪 Vendors'!A35="","","Handled by "&amp;'🏪 Vendors'!C35)</f>
        <v/>
      </c>
    </row>
    <row r="50" customFormat="false" ht="15" hidden="false" customHeight="false" outlineLevel="0" collapsed="false">
      <c r="A50" s="68" t="str">
        <f aca="false">IF('🏪 Vendors'!A36="","",'🏪 Vendors'!A36&amp;"")</f>
        <v/>
      </c>
      <c r="B50" s="68" t="str">
        <f aca="false">IF('🏪 Vendors'!A36="","",'🏪 Vendors'!B36&amp;" Vendor")</f>
        <v/>
      </c>
      <c r="C50" s="68" t="str">
        <f aca="false">IF('🏪 Vendors'!A36="","",'🏪 Vendors'!D36&amp;"")</f>
        <v/>
      </c>
      <c r="D50" s="68" t="str">
        <f aca="false">IF('🏪 Vendors'!A36="","",'🏪 Vendors'!E36&amp;"")</f>
        <v/>
      </c>
      <c r="E50" s="68" t="str">
        <f aca="false">IF('🏪 Vendors'!A36="","","Handled by "&amp;'🏪 Vendors'!C36)</f>
        <v/>
      </c>
    </row>
    <row r="51" customFormat="false" ht="15" hidden="false" customHeight="false" outlineLevel="0" collapsed="false">
      <c r="A51" s="68" t="str">
        <f aca="false">IF('🏪 Vendors'!A37="","",'🏪 Vendors'!A37&amp;"")</f>
        <v/>
      </c>
      <c r="B51" s="68" t="str">
        <f aca="false">IF('🏪 Vendors'!A37="","",'🏪 Vendors'!B37&amp;" Vendor")</f>
        <v/>
      </c>
      <c r="C51" s="68" t="str">
        <f aca="false">IF('🏪 Vendors'!A37="","",'🏪 Vendors'!D37&amp;"")</f>
        <v/>
      </c>
      <c r="D51" s="68" t="str">
        <f aca="false">IF('🏪 Vendors'!A37="","",'🏪 Vendors'!E37&amp;"")</f>
        <v/>
      </c>
      <c r="E51" s="68" t="str">
        <f aca="false">IF('🏪 Vendors'!A37="","","Handled by "&amp;'🏪 Vendors'!C37)</f>
        <v/>
      </c>
    </row>
    <row r="52" customFormat="false" ht="15" hidden="false" customHeight="false" outlineLevel="0" collapsed="false">
      <c r="A52" s="68" t="str">
        <f aca="false">IF('🏪 Vendors'!A38="","",'🏪 Vendors'!A38&amp;"")</f>
        <v/>
      </c>
      <c r="B52" s="68" t="str">
        <f aca="false">IF('🏪 Vendors'!A38="","",'🏪 Vendors'!B38&amp;" Vendor")</f>
        <v/>
      </c>
      <c r="C52" s="68" t="str">
        <f aca="false">IF('🏪 Vendors'!A38="","",'🏪 Vendors'!D38&amp;"")</f>
        <v/>
      </c>
      <c r="D52" s="68" t="str">
        <f aca="false">IF('🏪 Vendors'!A38="","",'🏪 Vendors'!E38&amp;"")</f>
        <v/>
      </c>
      <c r="E52" s="68" t="str">
        <f aca="false">IF('🏪 Vendors'!A38="","","Handled by "&amp;'🏪 Vendors'!C38)</f>
        <v/>
      </c>
    </row>
    <row r="53" customFormat="false" ht="15" hidden="false" customHeight="false" outlineLevel="0" collapsed="false">
      <c r="A53" s="68" t="str">
        <f aca="false">IF('🏪 Vendors'!A39="","",'🏪 Vendors'!A39&amp;"")</f>
        <v/>
      </c>
      <c r="B53" s="68" t="str">
        <f aca="false">IF('🏪 Vendors'!A39="","",'🏪 Vendors'!B39&amp;" Vendor")</f>
        <v/>
      </c>
      <c r="C53" s="68" t="str">
        <f aca="false">IF('🏪 Vendors'!A39="","",'🏪 Vendors'!D39&amp;"")</f>
        <v/>
      </c>
      <c r="D53" s="68" t="str">
        <f aca="false">IF('🏪 Vendors'!A39="","",'🏪 Vendors'!E39&amp;"")</f>
        <v/>
      </c>
      <c r="E53" s="68" t="str">
        <f aca="false">IF('🏪 Vendors'!A39="","","Handled by "&amp;'🏪 Vendors'!C39)</f>
        <v/>
      </c>
    </row>
    <row r="54" customFormat="false" ht="15" hidden="false" customHeight="false" outlineLevel="0" collapsed="false">
      <c r="A54" s="68" t="str">
        <f aca="false">IF('🏪 Vendors'!A40="","",'🏪 Vendors'!A40&amp;"")</f>
        <v/>
      </c>
      <c r="B54" s="68" t="str">
        <f aca="false">IF('🏪 Vendors'!A40="","",'🏪 Vendors'!B40&amp;" Vendor")</f>
        <v/>
      </c>
      <c r="C54" s="68" t="str">
        <f aca="false">IF('🏪 Vendors'!A40="","",'🏪 Vendors'!D40&amp;"")</f>
        <v/>
      </c>
      <c r="D54" s="68" t="str">
        <f aca="false">IF('🏪 Vendors'!A40="","",'🏪 Vendors'!E40&amp;"")</f>
        <v/>
      </c>
      <c r="E54" s="68" t="str">
        <f aca="false">IF('🏪 Vendors'!A40="","","Handled by "&amp;'🏪 Vendors'!C40)</f>
        <v/>
      </c>
    </row>
    <row r="55" customFormat="false" ht="15" hidden="false" customHeight="false" outlineLevel="0" collapsed="false">
      <c r="A55" s="68" t="str">
        <f aca="false">IF('🏪 Vendors'!A41="","",'🏪 Vendors'!A41&amp;"")</f>
        <v/>
      </c>
      <c r="B55" s="68" t="str">
        <f aca="false">IF('🏪 Vendors'!A41="","",'🏪 Vendors'!B41&amp;" Vendor")</f>
        <v/>
      </c>
      <c r="C55" s="68" t="str">
        <f aca="false">IF('🏪 Vendors'!A41="","",'🏪 Vendors'!D41&amp;"")</f>
        <v/>
      </c>
      <c r="D55" s="68" t="str">
        <f aca="false">IF('🏪 Vendors'!A41="","",'🏪 Vendors'!E41&amp;"")</f>
        <v/>
      </c>
      <c r="E55" s="68" t="str">
        <f aca="false">IF('🏪 Vendors'!A41="","","Handled by "&amp;'🏪 Vendors'!C41)</f>
        <v/>
      </c>
    </row>
    <row r="56" customFormat="false" ht="15" hidden="false" customHeight="false" outlineLevel="0" collapsed="false">
      <c r="A56" s="68" t="str">
        <f aca="false">IF('🏪 Vendors'!A42="","",'🏪 Vendors'!A42&amp;"")</f>
        <v/>
      </c>
      <c r="B56" s="68" t="str">
        <f aca="false">IF('🏪 Vendors'!A42="","",'🏪 Vendors'!B42&amp;" Vendor")</f>
        <v/>
      </c>
      <c r="C56" s="68" t="str">
        <f aca="false">IF('🏪 Vendors'!A42="","",'🏪 Vendors'!D42&amp;"")</f>
        <v/>
      </c>
      <c r="D56" s="68" t="str">
        <f aca="false">IF('🏪 Vendors'!A42="","",'🏪 Vendors'!E42&amp;"")</f>
        <v/>
      </c>
      <c r="E56" s="68" t="str">
        <f aca="false">IF('🏪 Vendors'!A42="","","Handled by "&amp;'🏪 Vendors'!C42)</f>
        <v/>
      </c>
    </row>
    <row r="57" customFormat="false" ht="15" hidden="false" customHeight="false" outlineLevel="0" collapsed="false">
      <c r="A57" s="68" t="str">
        <f aca="false">IF('🏪 Vendors'!A43="","",'🏪 Vendors'!A43&amp;"")</f>
        <v/>
      </c>
      <c r="B57" s="68" t="str">
        <f aca="false">IF('🏪 Vendors'!A43="","",'🏪 Vendors'!B43&amp;" Vendor")</f>
        <v/>
      </c>
      <c r="C57" s="68" t="str">
        <f aca="false">IF('🏪 Vendors'!A43="","",'🏪 Vendors'!D43&amp;"")</f>
        <v/>
      </c>
      <c r="D57" s="68" t="str">
        <f aca="false">IF('🏪 Vendors'!A43="","",'🏪 Vendors'!E43&amp;"")</f>
        <v/>
      </c>
      <c r="E57" s="68" t="str">
        <f aca="false">IF('🏪 Vendors'!A43="","","Handled by "&amp;'🏪 Vendors'!C43)</f>
        <v/>
      </c>
    </row>
    <row r="59" customFormat="false" ht="15" hidden="false" customHeight="false" outlineLevel="0" collapsed="false">
      <c r="A59" s="37" t="s">
        <v>307</v>
      </c>
      <c r="B59" s="37"/>
      <c r="C59" s="37"/>
      <c r="D59" s="37"/>
      <c r="E59" s="37"/>
    </row>
    <row r="60" customFormat="false" ht="21.75" hidden="false" customHeight="true" outlineLevel="0" collapsed="false">
      <c r="A60" s="42" t="s">
        <v>189</v>
      </c>
      <c r="B60" s="42" t="s">
        <v>305</v>
      </c>
      <c r="C60" s="42" t="s">
        <v>191</v>
      </c>
      <c r="D60" s="42" t="s">
        <v>245</v>
      </c>
      <c r="E60" s="42" t="s">
        <v>192</v>
      </c>
    </row>
    <row r="61" customFormat="false" ht="15" hidden="false" customHeight="false" outlineLevel="0" collapsed="false">
      <c r="A61" s="43" t="s">
        <v>308</v>
      </c>
      <c r="B61" s="43" t="s">
        <v>157</v>
      </c>
      <c r="C61" s="43" t="s">
        <v>309</v>
      </c>
      <c r="D61" s="43"/>
      <c r="E61" s="43" t="s">
        <v>310</v>
      </c>
    </row>
    <row r="62" customFormat="false" ht="15" hidden="false" customHeight="false" outlineLevel="0" collapsed="false">
      <c r="A62" s="39"/>
      <c r="B62" s="39"/>
      <c r="C62" s="39"/>
      <c r="D62" s="39"/>
      <c r="E62" s="39"/>
    </row>
    <row r="63" customFormat="false" ht="15" hidden="false" customHeight="false" outlineLevel="0" collapsed="false">
      <c r="A63" s="39"/>
      <c r="B63" s="39"/>
      <c r="C63" s="39"/>
      <c r="D63" s="39"/>
      <c r="E63" s="39"/>
    </row>
    <row r="64" customFormat="false" ht="15" hidden="false" customHeight="false" outlineLevel="0" collapsed="false">
      <c r="A64" s="39"/>
      <c r="B64" s="39"/>
      <c r="C64" s="39"/>
      <c r="D64" s="39"/>
      <c r="E64" s="39"/>
    </row>
    <row r="65" customFormat="false" ht="15" hidden="false" customHeight="false" outlineLevel="0" collapsed="false">
      <c r="A65" s="39"/>
      <c r="B65" s="39"/>
      <c r="C65" s="39"/>
      <c r="D65" s="39"/>
      <c r="E65" s="39"/>
    </row>
    <row r="66" customFormat="false" ht="15" hidden="false" customHeight="false" outlineLevel="0" collapsed="false">
      <c r="A66" s="39"/>
      <c r="B66" s="39"/>
      <c r="C66" s="39"/>
      <c r="D66" s="39"/>
      <c r="E66" s="39"/>
    </row>
    <row r="67" customFormat="false" ht="15" hidden="false" customHeight="false" outlineLevel="0" collapsed="false">
      <c r="A67" s="39"/>
      <c r="B67" s="39"/>
      <c r="C67" s="39"/>
      <c r="D67" s="39"/>
      <c r="E67" s="39"/>
    </row>
    <row r="68" customFormat="false" ht="15" hidden="false" customHeight="false" outlineLevel="0" collapsed="false">
      <c r="A68" s="39"/>
      <c r="B68" s="39"/>
      <c r="C68" s="39"/>
      <c r="D68" s="39"/>
      <c r="E68" s="39"/>
    </row>
    <row r="69" customFormat="false" ht="15" hidden="false" customHeight="false" outlineLevel="0" collapsed="false">
      <c r="A69" s="39"/>
      <c r="B69" s="39"/>
      <c r="C69" s="39"/>
      <c r="D69" s="39"/>
      <c r="E69" s="39"/>
    </row>
    <row r="70" customFormat="false" ht="15" hidden="false" customHeight="false" outlineLevel="0" collapsed="false">
      <c r="A70" s="39"/>
      <c r="B70" s="39"/>
      <c r="C70" s="39"/>
      <c r="D70" s="39"/>
      <c r="E70" s="39"/>
    </row>
    <row r="71" customFormat="false" ht="15" hidden="false" customHeight="false" outlineLevel="0" collapsed="false">
      <c r="A71" s="39"/>
      <c r="B71" s="39"/>
      <c r="C71" s="39"/>
      <c r="D71" s="39"/>
      <c r="E71" s="39"/>
    </row>
    <row r="72" customFormat="false" ht="15" hidden="false" customHeight="false" outlineLevel="0" collapsed="false">
      <c r="A72" s="39"/>
      <c r="B72" s="39"/>
      <c r="C72" s="39"/>
      <c r="D72" s="39"/>
      <c r="E72" s="39"/>
    </row>
    <row r="73" customFormat="false" ht="15" hidden="false" customHeight="false" outlineLevel="0" collapsed="false">
      <c r="A73" s="39"/>
      <c r="B73" s="39"/>
      <c r="C73" s="39"/>
      <c r="D73" s="39"/>
      <c r="E73" s="39"/>
    </row>
    <row r="74" customFormat="false" ht="15" hidden="false" customHeight="false" outlineLevel="0" collapsed="false">
      <c r="A74" s="39"/>
      <c r="B74" s="39"/>
      <c r="C74" s="39"/>
      <c r="D74" s="39"/>
      <c r="E74" s="39"/>
    </row>
    <row r="75" customFormat="false" ht="15" hidden="false" customHeight="false" outlineLevel="0" collapsed="false">
      <c r="A75" s="39"/>
      <c r="B75" s="39"/>
      <c r="C75" s="39"/>
      <c r="D75" s="39"/>
      <c r="E75" s="39"/>
    </row>
    <row r="77" customFormat="false" ht="25.5" hidden="false" customHeight="true" outlineLevel="0" collapsed="false">
      <c r="A77" s="54" t="s">
        <v>311</v>
      </c>
      <c r="B77" s="54"/>
      <c r="C77" s="54"/>
      <c r="D77" s="54"/>
      <c r="E77" s="54"/>
    </row>
  </sheetData>
  <mergeCells count="5">
    <mergeCell ref="A1:E1"/>
    <mergeCell ref="A3:E3"/>
    <mergeCell ref="A16:E16"/>
    <mergeCell ref="A59:E59"/>
    <mergeCell ref="A77:E77"/>
  </mergeCells>
  <dataValidations count="1">
    <dataValidation allowBlank="true" error="Please choose from the list." errorStyle="stop" errorTitle="Invalid entry" operator="between" showDropDown="false" showErrorMessage="false" showInputMessage="false" sqref="B61:B75" type="list">
      <formula1>List_ContactType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1735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8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13"/>
  </cols>
  <sheetData>
    <row r="1" customFormat="false" ht="27.75" hidden="false" customHeight="true" outlineLevel="0" collapsed="false">
      <c r="A1" s="31" t="s">
        <v>312</v>
      </c>
      <c r="B1" s="31"/>
      <c r="C1" s="31"/>
      <c r="D1" s="31"/>
      <c r="E1" s="31"/>
      <c r="F1" s="31"/>
    </row>
    <row r="3" customFormat="false" ht="27.75" hidden="false" customHeight="true" outlineLevel="0" collapsed="false">
      <c r="A3" s="42" t="s">
        <v>313</v>
      </c>
      <c r="B3" s="42" t="s">
        <v>208</v>
      </c>
      <c r="C3" s="42" t="s">
        <v>314</v>
      </c>
      <c r="D3" s="42" t="s">
        <v>315</v>
      </c>
      <c r="E3" s="42" t="s">
        <v>316</v>
      </c>
      <c r="F3" s="42" t="s">
        <v>317</v>
      </c>
    </row>
    <row r="4" customFormat="false" ht="15" hidden="false" customHeight="false" outlineLevel="0" collapsed="false">
      <c r="A4" s="43" t="s">
        <v>318</v>
      </c>
      <c r="B4" s="43" t="s">
        <v>111</v>
      </c>
      <c r="C4" s="43" t="s">
        <v>223</v>
      </c>
      <c r="D4" s="43" t="s">
        <v>319</v>
      </c>
      <c r="E4" s="43" t="s">
        <v>77</v>
      </c>
      <c r="F4" s="44" t="n">
        <v>46235</v>
      </c>
    </row>
    <row r="5" customFormat="false" ht="15" hidden="false" customHeight="false" outlineLevel="0" collapsed="false">
      <c r="A5" s="39"/>
      <c r="B5" s="39"/>
      <c r="C5" s="39"/>
      <c r="D5" s="39"/>
      <c r="E5" s="39"/>
      <c r="F5" s="40"/>
    </row>
    <row r="6" customFormat="false" ht="15" hidden="false" customHeight="false" outlineLevel="0" collapsed="false">
      <c r="A6" s="39"/>
      <c r="B6" s="39"/>
      <c r="C6" s="39"/>
      <c r="D6" s="39"/>
      <c r="E6" s="39"/>
      <c r="F6" s="40"/>
    </row>
    <row r="7" customFormat="false" ht="15" hidden="false" customHeight="false" outlineLevel="0" collapsed="false">
      <c r="A7" s="39"/>
      <c r="B7" s="39"/>
      <c r="C7" s="39"/>
      <c r="D7" s="39"/>
      <c r="E7" s="39"/>
      <c r="F7" s="40"/>
    </row>
    <row r="8" customFormat="false" ht="15" hidden="false" customHeight="false" outlineLevel="0" collapsed="false">
      <c r="A8" s="39"/>
      <c r="B8" s="39"/>
      <c r="C8" s="39"/>
      <c r="D8" s="39"/>
      <c r="E8" s="39"/>
      <c r="F8" s="40"/>
    </row>
    <row r="9" customFormat="false" ht="15" hidden="false" customHeight="false" outlineLevel="0" collapsed="false">
      <c r="A9" s="39"/>
      <c r="B9" s="39"/>
      <c r="C9" s="39"/>
      <c r="D9" s="39"/>
      <c r="E9" s="39"/>
      <c r="F9" s="40"/>
    </row>
    <row r="10" customFormat="false" ht="15" hidden="false" customHeight="false" outlineLevel="0" collapsed="false">
      <c r="A10" s="39"/>
      <c r="B10" s="39"/>
      <c r="C10" s="39"/>
      <c r="D10" s="39"/>
      <c r="E10" s="39"/>
      <c r="F10" s="40"/>
    </row>
    <row r="11" customFormat="false" ht="15" hidden="false" customHeight="false" outlineLevel="0" collapsed="false">
      <c r="A11" s="39"/>
      <c r="B11" s="39"/>
      <c r="C11" s="39"/>
      <c r="D11" s="39"/>
      <c r="E11" s="39"/>
      <c r="F11" s="40"/>
    </row>
    <row r="12" customFormat="false" ht="15" hidden="false" customHeight="false" outlineLevel="0" collapsed="false">
      <c r="A12" s="39"/>
      <c r="B12" s="39"/>
      <c r="C12" s="39"/>
      <c r="D12" s="39"/>
      <c r="E12" s="39"/>
      <c r="F12" s="40"/>
    </row>
    <row r="13" customFormat="false" ht="15" hidden="false" customHeight="false" outlineLevel="0" collapsed="false">
      <c r="A13" s="39"/>
      <c r="B13" s="39"/>
      <c r="C13" s="39"/>
      <c r="D13" s="39"/>
      <c r="E13" s="39"/>
      <c r="F13" s="40"/>
    </row>
    <row r="14" customFormat="false" ht="15" hidden="false" customHeight="false" outlineLevel="0" collapsed="false">
      <c r="A14" s="39"/>
      <c r="B14" s="39"/>
      <c r="C14" s="39"/>
      <c r="D14" s="39"/>
      <c r="E14" s="39"/>
      <c r="F14" s="40"/>
    </row>
    <row r="15" customFormat="false" ht="15" hidden="false" customHeight="false" outlineLevel="0" collapsed="false">
      <c r="A15" s="39"/>
      <c r="B15" s="39"/>
      <c r="C15" s="39"/>
      <c r="D15" s="39"/>
      <c r="E15" s="39"/>
      <c r="F15" s="40"/>
    </row>
    <row r="16" customFormat="false" ht="15" hidden="false" customHeight="false" outlineLevel="0" collapsed="false">
      <c r="A16" s="39"/>
      <c r="B16" s="39"/>
      <c r="C16" s="39"/>
      <c r="D16" s="39"/>
      <c r="E16" s="39"/>
      <c r="F16" s="40"/>
    </row>
    <row r="17" customFormat="false" ht="15" hidden="false" customHeight="false" outlineLevel="0" collapsed="false">
      <c r="A17" s="39"/>
      <c r="B17" s="39"/>
      <c r="C17" s="39"/>
      <c r="D17" s="39"/>
      <c r="E17" s="39"/>
      <c r="F17" s="40"/>
    </row>
    <row r="18" customFormat="false" ht="15" hidden="false" customHeight="false" outlineLevel="0" collapsed="false">
      <c r="A18" s="39"/>
      <c r="B18" s="39"/>
      <c r="C18" s="39"/>
      <c r="D18" s="39"/>
      <c r="E18" s="39"/>
      <c r="F18" s="40"/>
    </row>
    <row r="19" customFormat="false" ht="15" hidden="false" customHeight="false" outlineLevel="0" collapsed="false">
      <c r="A19" s="39"/>
      <c r="B19" s="39"/>
      <c r="C19" s="39"/>
      <c r="D19" s="39"/>
      <c r="E19" s="39"/>
      <c r="F19" s="40"/>
    </row>
    <row r="20" customFormat="false" ht="15" hidden="false" customHeight="false" outlineLevel="0" collapsed="false">
      <c r="A20" s="39"/>
      <c r="B20" s="39"/>
      <c r="C20" s="39"/>
      <c r="D20" s="39"/>
      <c r="E20" s="39"/>
      <c r="F20" s="40"/>
    </row>
    <row r="21" customFormat="false" ht="15" hidden="false" customHeight="false" outlineLevel="0" collapsed="false">
      <c r="A21" s="39"/>
      <c r="B21" s="39"/>
      <c r="C21" s="39"/>
      <c r="D21" s="39"/>
      <c r="E21" s="39"/>
      <c r="F21" s="40"/>
    </row>
    <row r="22" customFormat="false" ht="15" hidden="false" customHeight="false" outlineLevel="0" collapsed="false">
      <c r="A22" s="39"/>
      <c r="B22" s="39"/>
      <c r="C22" s="39"/>
      <c r="D22" s="39"/>
      <c r="E22" s="39"/>
      <c r="F22" s="40"/>
    </row>
    <row r="23" customFormat="false" ht="15" hidden="false" customHeight="false" outlineLevel="0" collapsed="false">
      <c r="A23" s="39"/>
      <c r="B23" s="39"/>
      <c r="C23" s="39"/>
      <c r="D23" s="39"/>
      <c r="E23" s="39"/>
      <c r="F23" s="40"/>
    </row>
    <row r="24" customFormat="false" ht="15" hidden="false" customHeight="false" outlineLevel="0" collapsed="false">
      <c r="A24" s="39"/>
      <c r="B24" s="39"/>
      <c r="C24" s="39"/>
      <c r="D24" s="39"/>
      <c r="E24" s="39"/>
      <c r="F24" s="40"/>
    </row>
    <row r="25" customFormat="false" ht="15" hidden="false" customHeight="false" outlineLevel="0" collapsed="false">
      <c r="A25" s="39"/>
      <c r="B25" s="39"/>
      <c r="C25" s="39"/>
      <c r="D25" s="39"/>
      <c r="E25" s="39"/>
      <c r="F25" s="40"/>
    </row>
    <row r="26" customFormat="false" ht="15" hidden="false" customHeight="false" outlineLevel="0" collapsed="false">
      <c r="A26" s="39"/>
      <c r="B26" s="39"/>
      <c r="C26" s="39"/>
      <c r="D26" s="39"/>
      <c r="E26" s="39"/>
      <c r="F26" s="40"/>
    </row>
    <row r="27" customFormat="false" ht="15" hidden="false" customHeight="false" outlineLevel="0" collapsed="false">
      <c r="A27" s="39"/>
      <c r="B27" s="39"/>
      <c r="C27" s="39"/>
      <c r="D27" s="39"/>
      <c r="E27" s="39"/>
      <c r="F27" s="40"/>
    </row>
    <row r="28" customFormat="false" ht="15" hidden="false" customHeight="false" outlineLevel="0" collapsed="false">
      <c r="A28" s="39"/>
      <c r="B28" s="39"/>
      <c r="C28" s="39"/>
      <c r="D28" s="39"/>
      <c r="E28" s="39"/>
      <c r="F28" s="40"/>
    </row>
    <row r="29" customFormat="false" ht="15" hidden="false" customHeight="false" outlineLevel="0" collapsed="false">
      <c r="A29" s="39"/>
      <c r="B29" s="39"/>
      <c r="C29" s="39"/>
      <c r="D29" s="39"/>
      <c r="E29" s="39"/>
      <c r="F29" s="40"/>
    </row>
    <row r="30" customFormat="false" ht="15" hidden="false" customHeight="false" outlineLevel="0" collapsed="false">
      <c r="A30" s="39"/>
      <c r="B30" s="39"/>
      <c r="C30" s="39"/>
      <c r="D30" s="39"/>
      <c r="E30" s="39"/>
      <c r="F30" s="40"/>
    </row>
    <row r="31" customFormat="false" ht="15" hidden="false" customHeight="false" outlineLevel="0" collapsed="false">
      <c r="A31" s="39"/>
      <c r="B31" s="39"/>
      <c r="C31" s="39"/>
      <c r="D31" s="39"/>
      <c r="E31" s="39"/>
      <c r="F31" s="40"/>
    </row>
    <row r="32" customFormat="false" ht="15" hidden="false" customHeight="false" outlineLevel="0" collapsed="false">
      <c r="A32" s="39"/>
      <c r="B32" s="39"/>
      <c r="C32" s="39"/>
      <c r="D32" s="39"/>
      <c r="E32" s="39"/>
      <c r="F32" s="40"/>
    </row>
    <row r="33" customFormat="false" ht="15" hidden="false" customHeight="false" outlineLevel="0" collapsed="false">
      <c r="A33" s="39"/>
      <c r="B33" s="39"/>
      <c r="C33" s="39"/>
      <c r="D33" s="39"/>
      <c r="E33" s="39"/>
      <c r="F33" s="40"/>
    </row>
    <row r="34" customFormat="false" ht="15" hidden="false" customHeight="false" outlineLevel="0" collapsed="false">
      <c r="A34" s="39"/>
      <c r="B34" s="39"/>
      <c r="C34" s="39"/>
      <c r="D34" s="39"/>
      <c r="E34" s="39"/>
      <c r="F34" s="40"/>
    </row>
    <row r="35" customFormat="false" ht="15" hidden="false" customHeight="false" outlineLevel="0" collapsed="false">
      <c r="A35" s="39"/>
      <c r="B35" s="39"/>
      <c r="C35" s="39"/>
      <c r="D35" s="39"/>
      <c r="E35" s="39"/>
      <c r="F35" s="40"/>
    </row>
    <row r="36" customFormat="false" ht="15" hidden="false" customHeight="false" outlineLevel="0" collapsed="false">
      <c r="A36" s="39"/>
      <c r="B36" s="39"/>
      <c r="C36" s="39"/>
      <c r="D36" s="39"/>
      <c r="E36" s="39"/>
      <c r="F36" s="40"/>
    </row>
    <row r="37" customFormat="false" ht="15" hidden="false" customHeight="false" outlineLevel="0" collapsed="false">
      <c r="A37" s="39"/>
      <c r="B37" s="39"/>
      <c r="C37" s="39"/>
      <c r="D37" s="39"/>
      <c r="E37" s="39"/>
      <c r="F37" s="40"/>
    </row>
    <row r="38" customFormat="false" ht="15" hidden="false" customHeight="false" outlineLevel="0" collapsed="false">
      <c r="A38" s="39"/>
      <c r="B38" s="39"/>
      <c r="C38" s="39"/>
      <c r="D38" s="39"/>
      <c r="E38" s="39"/>
      <c r="F38" s="40"/>
    </row>
    <row r="39" customFormat="false" ht="15" hidden="false" customHeight="false" outlineLevel="0" collapsed="false">
      <c r="A39" s="39"/>
      <c r="B39" s="39"/>
      <c r="C39" s="39"/>
      <c r="D39" s="39"/>
      <c r="E39" s="39"/>
      <c r="F39" s="40"/>
    </row>
    <row r="40" customFormat="false" ht="15" hidden="false" customHeight="false" outlineLevel="0" collapsed="false">
      <c r="A40" s="39"/>
      <c r="B40" s="39"/>
      <c r="C40" s="39"/>
      <c r="D40" s="39"/>
      <c r="E40" s="39"/>
      <c r="F40" s="40"/>
    </row>
    <row r="41" customFormat="false" ht="15" hidden="false" customHeight="false" outlineLevel="0" collapsed="false">
      <c r="A41" s="39"/>
      <c r="B41" s="39"/>
      <c r="C41" s="39"/>
      <c r="D41" s="39"/>
      <c r="E41" s="39"/>
      <c r="F41" s="40"/>
    </row>
    <row r="42" customFormat="false" ht="15" hidden="false" customHeight="false" outlineLevel="0" collapsed="false">
      <c r="A42" s="39"/>
      <c r="B42" s="39"/>
      <c r="C42" s="39"/>
      <c r="D42" s="39"/>
      <c r="E42" s="39"/>
      <c r="F42" s="40"/>
    </row>
    <row r="43" customFormat="false" ht="15" hidden="false" customHeight="false" outlineLevel="0" collapsed="false">
      <c r="A43" s="39"/>
      <c r="B43" s="39"/>
      <c r="C43" s="39"/>
      <c r="D43" s="39"/>
      <c r="E43" s="39"/>
      <c r="F43" s="40"/>
    </row>
    <row r="45" customFormat="false" ht="25.5" hidden="false" customHeight="true" outlineLevel="0" collapsed="false">
      <c r="A45" s="54" t="s">
        <v>320</v>
      </c>
      <c r="B45" s="54"/>
      <c r="C45" s="54"/>
      <c r="D45" s="54"/>
      <c r="E45" s="54"/>
      <c r="F45" s="54"/>
    </row>
  </sheetData>
  <autoFilter ref="A3:F43"/>
  <mergeCells count="2">
    <mergeCell ref="A1:F1"/>
    <mergeCell ref="A45:F45"/>
  </mergeCells>
  <dataValidations count="3">
    <dataValidation allowBlank="true" error="Please enter a valid date." errorStyle="stop" errorTitle="Invalid date" operator="between" showDropDown="false" showErrorMessage="true" showInputMessage="false" sqref="F4:F43" type="date">
      <formula1>32874</formula1>
      <formula2>73415</formula2>
    </dataValidation>
    <dataValidation allowBlank="true" error="Please choose from the list." errorStyle="stop" errorTitle="Invalid entry" operator="between" showDropDown="false" showErrorMessage="false" showInputMessage="false" sqref="B4:B43" type="list">
      <formula1>List_DocumentCategory</formula1>
      <formula2>0</formula2>
    </dataValidation>
    <dataValidation allowBlank="true" error="Please choose from the list." errorStyle="stop" errorTitle="Invalid entry" operator="between" showDropDown="false" showErrorMessage="false" showInputMessage="false" sqref="E4:E43" type="list">
      <formula1>List_FamilyMembers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A3771"/>
    <pageSetUpPr fitToPage="false"/>
  </sheetPr>
  <dimension ref="A1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5" min="3" style="0" width="16"/>
  </cols>
  <sheetData>
    <row r="1" customFormat="false" ht="27.75" hidden="false" customHeight="true" outlineLevel="0" collapsed="false">
      <c r="A1" s="31" t="s">
        <v>321</v>
      </c>
      <c r="B1" s="31"/>
      <c r="C1" s="31"/>
      <c r="D1" s="31"/>
      <c r="E1" s="31"/>
    </row>
    <row r="2" customFormat="false" ht="27.75" hidden="false" customHeight="true" outlineLevel="0" collapsed="false">
      <c r="A2" s="69" t="s">
        <v>322</v>
      </c>
      <c r="B2" s="70"/>
      <c r="C2" s="70"/>
      <c r="D2" s="70"/>
      <c r="E2" s="70"/>
    </row>
    <row r="3" customFormat="false" ht="25.5" hidden="false" customHeight="true" outlineLevel="0" collapsed="false">
      <c r="A3" s="54" t="s">
        <v>323</v>
      </c>
      <c r="B3" s="54"/>
      <c r="C3" s="54"/>
      <c r="D3" s="54"/>
      <c r="E3" s="54"/>
    </row>
    <row r="5" customFormat="false" ht="15" hidden="false" customHeight="false" outlineLevel="0" collapsed="false">
      <c r="A5" s="37" t="s">
        <v>324</v>
      </c>
      <c r="B5" s="37"/>
      <c r="C5" s="37"/>
      <c r="D5" s="37"/>
    </row>
    <row r="6" customFormat="false" ht="21.75" hidden="false" customHeight="true" outlineLevel="0" collapsed="false">
      <c r="A6" s="42" t="s">
        <v>325</v>
      </c>
      <c r="B6" s="42" t="s">
        <v>234</v>
      </c>
      <c r="C6" s="42" t="s">
        <v>191</v>
      </c>
      <c r="D6" s="42" t="s">
        <v>147</v>
      </c>
    </row>
    <row r="7" customFormat="false" ht="15" hidden="false" customHeight="false" outlineLevel="0" collapsed="false">
      <c r="A7" s="39" t="str">
        <f aca="false">IFERROR(INDEX('👨‍👩‍👧‍👦 Guests'!B:B,MATCH(1,'👨‍👩‍👧‍👦 Guests'!M:M,0)),"")</f>
        <v>Sharma Family</v>
      </c>
      <c r="B7" s="39" t="str">
        <f aca="false">IFERROR(INDEX('👨‍👩‍👧‍👦 Guests'!C:C,MATCH(1,'👨‍👩‍👧‍👦 Guests'!M:M,0)),"")</f>
        <v>Pune</v>
      </c>
      <c r="C7" s="39" t="str">
        <f aca="false">IFERROR(INDEX('👨‍👩‍👧‍👦 Guests'!D:D,MATCH(1,'👨‍👩‍👧‍👦 Guests'!M:M,0)),"")</f>
        <v>+91 98765 11111</v>
      </c>
      <c r="D7" s="39" t="str">
        <f aca="false">IFERROR(INDEX('👨‍👩‍👧‍👦 Guests'!G:G,MATCH(1,'👨‍👩‍👧‍👦 Guests'!M:M,0)),"")</f>
        <v>Yes</v>
      </c>
    </row>
    <row r="8" customFormat="false" ht="15" hidden="false" customHeight="false" outlineLevel="0" collapsed="false">
      <c r="A8" s="39" t="str">
        <f aca="false">IFERROR(INDEX('👨‍👩‍👧‍👦 Guests'!B:B,MATCH(2,'👨‍👩‍👧‍👦 Guests'!M:M,0)),"")</f>
        <v/>
      </c>
      <c r="B8" s="39" t="str">
        <f aca="false">IFERROR(INDEX('👨‍👩‍👧‍👦 Guests'!C:C,MATCH(2,'👨‍👩‍👧‍👦 Guests'!M:M,0)),"")</f>
        <v/>
      </c>
      <c r="C8" s="39" t="str">
        <f aca="false">IFERROR(INDEX('👨‍👩‍👧‍👦 Guests'!D:D,MATCH(2,'👨‍👩‍👧‍👦 Guests'!M:M,0)),"")</f>
        <v/>
      </c>
      <c r="D8" s="39" t="str">
        <f aca="false">IFERROR(INDEX('👨‍👩‍👧‍👦 Guests'!G:G,MATCH(2,'👨‍👩‍👧‍👦 Guests'!M:M,0)),"")</f>
        <v/>
      </c>
    </row>
    <row r="9" customFormat="false" ht="15" hidden="false" customHeight="false" outlineLevel="0" collapsed="false">
      <c r="A9" s="39" t="str">
        <f aca="false">IFERROR(INDEX('👨‍👩‍👧‍👦 Guests'!B:B,MATCH(3,'👨‍👩‍👧‍👦 Guests'!M:M,0)),"")</f>
        <v/>
      </c>
      <c r="B9" s="39" t="str">
        <f aca="false">IFERROR(INDEX('👨‍👩‍👧‍👦 Guests'!C:C,MATCH(3,'👨‍👩‍👧‍👦 Guests'!M:M,0)),"")</f>
        <v/>
      </c>
      <c r="C9" s="39" t="str">
        <f aca="false">IFERROR(INDEX('👨‍👩‍👧‍👦 Guests'!D:D,MATCH(3,'👨‍👩‍👧‍👦 Guests'!M:M,0)),"")</f>
        <v/>
      </c>
      <c r="D9" s="39" t="str">
        <f aca="false">IFERROR(INDEX('👨‍👩‍👧‍👦 Guests'!G:G,MATCH(3,'👨‍👩‍👧‍👦 Guests'!M:M,0)),"")</f>
        <v/>
      </c>
    </row>
    <row r="10" customFormat="false" ht="15" hidden="false" customHeight="false" outlineLevel="0" collapsed="false">
      <c r="A10" s="39" t="str">
        <f aca="false">IFERROR(INDEX('👨‍👩‍👧‍👦 Guests'!B:B,MATCH(4,'👨‍👩‍👧‍👦 Guests'!M:M,0)),"")</f>
        <v/>
      </c>
      <c r="B10" s="39" t="str">
        <f aca="false">IFERROR(INDEX('👨‍👩‍👧‍👦 Guests'!C:C,MATCH(4,'👨‍👩‍👧‍👦 Guests'!M:M,0)),"")</f>
        <v/>
      </c>
      <c r="C10" s="39" t="str">
        <f aca="false">IFERROR(INDEX('👨‍👩‍👧‍👦 Guests'!D:D,MATCH(4,'👨‍👩‍👧‍👦 Guests'!M:M,0)),"")</f>
        <v/>
      </c>
      <c r="D10" s="39" t="str">
        <f aca="false">IFERROR(INDEX('👨‍👩‍👧‍👦 Guests'!G:G,MATCH(4,'👨‍👩‍👧‍👦 Guests'!M:M,0)),"")</f>
        <v/>
      </c>
    </row>
    <row r="11" customFormat="false" ht="15" hidden="false" customHeight="false" outlineLevel="0" collapsed="false">
      <c r="A11" s="39" t="str">
        <f aca="false">IFERROR(INDEX('👨‍👩‍👧‍👦 Guests'!B:B,MATCH(5,'👨‍👩‍👧‍👦 Guests'!M:M,0)),"")</f>
        <v/>
      </c>
      <c r="B11" s="39" t="str">
        <f aca="false">IFERROR(INDEX('👨‍👩‍👧‍👦 Guests'!C:C,MATCH(5,'👨‍👩‍👧‍👦 Guests'!M:M,0)),"")</f>
        <v/>
      </c>
      <c r="C11" s="39" t="str">
        <f aca="false">IFERROR(INDEX('👨‍👩‍👧‍👦 Guests'!D:D,MATCH(5,'👨‍👩‍👧‍👦 Guests'!M:M,0)),"")</f>
        <v/>
      </c>
      <c r="D11" s="39" t="str">
        <f aca="false">IFERROR(INDEX('👨‍👩‍👧‍👦 Guests'!G:G,MATCH(5,'👨‍👩‍👧‍👦 Guests'!M:M,0)),"")</f>
        <v/>
      </c>
    </row>
    <row r="12" customFormat="false" ht="15" hidden="false" customHeight="false" outlineLevel="0" collapsed="false">
      <c r="A12" s="39" t="str">
        <f aca="false">IFERROR(INDEX('👨‍👩‍👧‍👦 Guests'!B:B,MATCH(6,'👨‍👩‍👧‍👦 Guests'!M:M,0)),"")</f>
        <v/>
      </c>
      <c r="B12" s="39" t="str">
        <f aca="false">IFERROR(INDEX('👨‍👩‍👧‍👦 Guests'!C:C,MATCH(6,'👨‍👩‍👧‍👦 Guests'!M:M,0)),"")</f>
        <v/>
      </c>
      <c r="C12" s="39" t="str">
        <f aca="false">IFERROR(INDEX('👨‍👩‍👧‍👦 Guests'!D:D,MATCH(6,'👨‍👩‍👧‍👦 Guests'!M:M,0)),"")</f>
        <v/>
      </c>
      <c r="D12" s="39" t="str">
        <f aca="false">IFERROR(INDEX('👨‍👩‍👧‍👦 Guests'!G:G,MATCH(6,'👨‍👩‍👧‍👦 Guests'!M:M,0)),"")</f>
        <v/>
      </c>
    </row>
    <row r="13" customFormat="false" ht="15" hidden="false" customHeight="false" outlineLevel="0" collapsed="false">
      <c r="A13" s="39" t="str">
        <f aca="false">IFERROR(INDEX('👨‍👩‍👧‍👦 Guests'!B:B,MATCH(7,'👨‍👩‍👧‍👦 Guests'!M:M,0)),"")</f>
        <v/>
      </c>
      <c r="B13" s="39" t="str">
        <f aca="false">IFERROR(INDEX('👨‍👩‍👧‍👦 Guests'!C:C,MATCH(7,'👨‍👩‍👧‍👦 Guests'!M:M,0)),"")</f>
        <v/>
      </c>
      <c r="C13" s="39" t="str">
        <f aca="false">IFERROR(INDEX('👨‍👩‍👧‍👦 Guests'!D:D,MATCH(7,'👨‍👩‍👧‍👦 Guests'!M:M,0)),"")</f>
        <v/>
      </c>
      <c r="D13" s="39" t="str">
        <f aca="false">IFERROR(INDEX('👨‍👩‍👧‍👦 Guests'!G:G,MATCH(7,'👨‍👩‍👧‍👦 Guests'!M:M,0)),"")</f>
        <v/>
      </c>
    </row>
    <row r="14" customFormat="false" ht="15" hidden="false" customHeight="false" outlineLevel="0" collapsed="false">
      <c r="A14" s="39" t="str">
        <f aca="false">IFERROR(INDEX('👨‍👩‍👧‍👦 Guests'!B:B,MATCH(8,'👨‍👩‍👧‍👦 Guests'!M:M,0)),"")</f>
        <v/>
      </c>
      <c r="B14" s="39" t="str">
        <f aca="false">IFERROR(INDEX('👨‍👩‍👧‍👦 Guests'!C:C,MATCH(8,'👨‍👩‍👧‍👦 Guests'!M:M,0)),"")</f>
        <v/>
      </c>
      <c r="C14" s="39" t="str">
        <f aca="false">IFERROR(INDEX('👨‍👩‍👧‍👦 Guests'!D:D,MATCH(8,'👨‍👩‍👧‍👦 Guests'!M:M,0)),"")</f>
        <v/>
      </c>
      <c r="D14" s="39" t="str">
        <f aca="false">IFERROR(INDEX('👨‍👩‍👧‍👦 Guests'!G:G,MATCH(8,'👨‍👩‍👧‍👦 Guests'!M:M,0)),"")</f>
        <v/>
      </c>
    </row>
    <row r="16" customFormat="false" ht="15" hidden="false" customHeight="false" outlineLevel="0" collapsed="false">
      <c r="A16" s="37" t="s">
        <v>326</v>
      </c>
      <c r="B16" s="37"/>
      <c r="C16" s="37"/>
      <c r="D16" s="37"/>
    </row>
    <row r="17" customFormat="false" ht="21.75" hidden="false" customHeight="true" outlineLevel="0" collapsed="false">
      <c r="A17" s="42" t="s">
        <v>243</v>
      </c>
      <c r="B17" s="42" t="s">
        <v>208</v>
      </c>
      <c r="C17" s="42" t="s">
        <v>191</v>
      </c>
      <c r="D17" s="42" t="s">
        <v>212</v>
      </c>
    </row>
    <row r="18" customFormat="false" ht="15" hidden="false" customHeight="false" outlineLevel="0" collapsed="false">
      <c r="A18" s="39" t="str">
        <f aca="false">IFERROR(INDEX('🏪 Vendors'!A:A,MATCH(1,'🏪 Vendors'!M:M,0)),"")</f>
        <v>Grand Palace Banquets</v>
      </c>
      <c r="B18" s="39" t="str">
        <f aca="false">IFERROR(INDEX('🏪 Vendors'!B:B,MATCH(1,'🏪 Vendors'!M:M,0)),"")</f>
        <v>Hall</v>
      </c>
      <c r="C18" s="39" t="str">
        <f aca="false">IFERROR(INDEX('🏪 Vendors'!D:D,MATCH(1,'🏪 Vendors'!M:M,0)),"")</f>
        <v>+91 90000 22233</v>
      </c>
      <c r="D18" s="39" t="str">
        <f aca="false">IFERROR(INDEX('🏪 Vendors'!J:J,MATCH(1,'🏪 Vendors'!M:M,0)),"")</f>
        <v>Pending</v>
      </c>
    </row>
    <row r="19" customFormat="false" ht="15" hidden="false" customHeight="false" outlineLevel="0" collapsed="false">
      <c r="A19" s="39" t="str">
        <f aca="false">IFERROR(INDEX('🏪 Vendors'!A:A,MATCH(2,'🏪 Vendors'!M:M,0)),"")</f>
        <v/>
      </c>
      <c r="B19" s="39" t="str">
        <f aca="false">IFERROR(INDEX('🏪 Vendors'!B:B,MATCH(2,'🏪 Vendors'!M:M,0)),"")</f>
        <v/>
      </c>
      <c r="C19" s="39" t="str">
        <f aca="false">IFERROR(INDEX('🏪 Vendors'!D:D,MATCH(2,'🏪 Vendors'!M:M,0)),"")</f>
        <v/>
      </c>
      <c r="D19" s="39" t="str">
        <f aca="false">IFERROR(INDEX('🏪 Vendors'!J:J,MATCH(2,'🏪 Vendors'!M:M,0)),"")</f>
        <v/>
      </c>
    </row>
    <row r="20" customFormat="false" ht="15" hidden="false" customHeight="false" outlineLevel="0" collapsed="false">
      <c r="A20" s="39" t="str">
        <f aca="false">IFERROR(INDEX('🏪 Vendors'!A:A,MATCH(3,'🏪 Vendors'!M:M,0)),"")</f>
        <v/>
      </c>
      <c r="B20" s="39" t="str">
        <f aca="false">IFERROR(INDEX('🏪 Vendors'!B:B,MATCH(3,'🏪 Vendors'!M:M,0)),"")</f>
        <v/>
      </c>
      <c r="C20" s="39" t="str">
        <f aca="false">IFERROR(INDEX('🏪 Vendors'!D:D,MATCH(3,'🏪 Vendors'!M:M,0)),"")</f>
        <v/>
      </c>
      <c r="D20" s="39" t="str">
        <f aca="false">IFERROR(INDEX('🏪 Vendors'!J:J,MATCH(3,'🏪 Vendors'!M:M,0)),"")</f>
        <v/>
      </c>
    </row>
    <row r="21" customFormat="false" ht="15" hidden="false" customHeight="false" outlineLevel="0" collapsed="false">
      <c r="A21" s="39" t="str">
        <f aca="false">IFERROR(INDEX('🏪 Vendors'!A:A,MATCH(4,'🏪 Vendors'!M:M,0)),"")</f>
        <v/>
      </c>
      <c r="B21" s="39" t="str">
        <f aca="false">IFERROR(INDEX('🏪 Vendors'!B:B,MATCH(4,'🏪 Vendors'!M:M,0)),"")</f>
        <v/>
      </c>
      <c r="C21" s="39" t="str">
        <f aca="false">IFERROR(INDEX('🏪 Vendors'!D:D,MATCH(4,'🏪 Vendors'!M:M,0)),"")</f>
        <v/>
      </c>
      <c r="D21" s="39" t="str">
        <f aca="false">IFERROR(INDEX('🏪 Vendors'!J:J,MATCH(4,'🏪 Vendors'!M:M,0)),"")</f>
        <v/>
      </c>
    </row>
    <row r="22" customFormat="false" ht="15" hidden="false" customHeight="false" outlineLevel="0" collapsed="false">
      <c r="A22" s="39" t="str">
        <f aca="false">IFERROR(INDEX('🏪 Vendors'!A:A,MATCH(5,'🏪 Vendors'!M:M,0)),"")</f>
        <v/>
      </c>
      <c r="B22" s="39" t="str">
        <f aca="false">IFERROR(INDEX('🏪 Vendors'!B:B,MATCH(5,'🏪 Vendors'!M:M,0)),"")</f>
        <v/>
      </c>
      <c r="C22" s="39" t="str">
        <f aca="false">IFERROR(INDEX('🏪 Vendors'!D:D,MATCH(5,'🏪 Vendors'!M:M,0)),"")</f>
        <v/>
      </c>
      <c r="D22" s="39" t="str">
        <f aca="false">IFERROR(INDEX('🏪 Vendors'!J:J,MATCH(5,'🏪 Vendors'!M:M,0)),"")</f>
        <v/>
      </c>
    </row>
    <row r="23" customFormat="false" ht="15" hidden="false" customHeight="false" outlineLevel="0" collapsed="false">
      <c r="A23" s="39" t="str">
        <f aca="false">IFERROR(INDEX('🏪 Vendors'!A:A,MATCH(6,'🏪 Vendors'!M:M,0)),"")</f>
        <v/>
      </c>
      <c r="B23" s="39" t="str">
        <f aca="false">IFERROR(INDEX('🏪 Vendors'!B:B,MATCH(6,'🏪 Vendors'!M:M,0)),"")</f>
        <v/>
      </c>
      <c r="C23" s="39" t="str">
        <f aca="false">IFERROR(INDEX('🏪 Vendors'!D:D,MATCH(6,'🏪 Vendors'!M:M,0)),"")</f>
        <v/>
      </c>
      <c r="D23" s="39" t="str">
        <f aca="false">IFERROR(INDEX('🏪 Vendors'!J:J,MATCH(6,'🏪 Vendors'!M:M,0)),"")</f>
        <v/>
      </c>
    </row>
    <row r="24" customFormat="false" ht="15" hidden="false" customHeight="false" outlineLevel="0" collapsed="false">
      <c r="A24" s="39" t="str">
        <f aca="false">IFERROR(INDEX('🏪 Vendors'!A:A,MATCH(7,'🏪 Vendors'!M:M,0)),"")</f>
        <v/>
      </c>
      <c r="B24" s="39" t="str">
        <f aca="false">IFERROR(INDEX('🏪 Vendors'!B:B,MATCH(7,'🏪 Vendors'!M:M,0)),"")</f>
        <v/>
      </c>
      <c r="C24" s="39" t="str">
        <f aca="false">IFERROR(INDEX('🏪 Vendors'!D:D,MATCH(7,'🏪 Vendors'!M:M,0)),"")</f>
        <v/>
      </c>
      <c r="D24" s="39" t="str">
        <f aca="false">IFERROR(INDEX('🏪 Vendors'!J:J,MATCH(7,'🏪 Vendors'!M:M,0)),"")</f>
        <v/>
      </c>
    </row>
    <row r="25" customFormat="false" ht="15" hidden="false" customHeight="false" outlineLevel="0" collapsed="false">
      <c r="A25" s="39" t="str">
        <f aca="false">IFERROR(INDEX('🏪 Vendors'!A:A,MATCH(8,'🏪 Vendors'!M:M,0)),"")</f>
        <v/>
      </c>
      <c r="B25" s="39" t="str">
        <f aca="false">IFERROR(INDEX('🏪 Vendors'!B:B,MATCH(8,'🏪 Vendors'!M:M,0)),"")</f>
        <v/>
      </c>
      <c r="C25" s="39" t="str">
        <f aca="false">IFERROR(INDEX('🏪 Vendors'!D:D,MATCH(8,'🏪 Vendors'!M:M,0)),"")</f>
        <v/>
      </c>
      <c r="D25" s="39" t="str">
        <f aca="false">IFERROR(INDEX('🏪 Vendors'!J:J,MATCH(8,'🏪 Vendors'!M:M,0)),"")</f>
        <v/>
      </c>
    </row>
    <row r="27" customFormat="false" ht="15" hidden="false" customHeight="false" outlineLevel="0" collapsed="false">
      <c r="A27" s="37" t="s">
        <v>327</v>
      </c>
      <c r="B27" s="37"/>
      <c r="C27" s="37"/>
      <c r="D27" s="37"/>
    </row>
    <row r="28" customFormat="false" ht="21.75" hidden="false" customHeight="true" outlineLevel="0" collapsed="false">
      <c r="A28" s="42" t="s">
        <v>257</v>
      </c>
      <c r="B28" s="42" t="s">
        <v>208</v>
      </c>
      <c r="C28" s="42" t="s">
        <v>328</v>
      </c>
      <c r="D28" s="42" t="s">
        <v>212</v>
      </c>
    </row>
    <row r="29" customFormat="false" ht="15" hidden="false" customHeight="false" outlineLevel="0" collapsed="false">
      <c r="A29" s="39" t="str">
        <f aca="false">IFERROR(INDEX('🛍️ Shopping'!A:A,MATCH(1,'🛍️ Shopping'!M:M,0)),"")</f>
        <v>Groom Sherwani</v>
      </c>
      <c r="B29" s="39" t="str">
        <f aca="false">IFERROR(INDEX('🛍️ Shopping'!B:B,MATCH(1,'🛍️ Shopping'!M:M,0)),"")</f>
        <v>Groom Outfits</v>
      </c>
      <c r="C29" s="39" t="str">
        <f aca="false">IFERROR(INDEX('🛍️ Shopping'!C:C,MATCH(1,'🛍️ Shopping'!M:M,0)),"")</f>
        <v>Self</v>
      </c>
      <c r="D29" s="39" t="str">
        <f aca="false">IFERROR(INDEX('🛍️ Shopping'!E:E,MATCH(1,'🛍️ Shopping'!M:M,0)),"")</f>
        <v>Ordered</v>
      </c>
    </row>
    <row r="30" customFormat="false" ht="15" hidden="false" customHeight="false" outlineLevel="0" collapsed="false">
      <c r="A30" s="39" t="str">
        <f aca="false">IFERROR(INDEX('🛍️ Shopping'!A:A,MATCH(2,'🛍️ Shopping'!M:M,0)),"")</f>
        <v/>
      </c>
      <c r="B30" s="39" t="str">
        <f aca="false">IFERROR(INDEX('🛍️ Shopping'!B:B,MATCH(2,'🛍️ Shopping'!M:M,0)),"")</f>
        <v/>
      </c>
      <c r="C30" s="39" t="str">
        <f aca="false">IFERROR(INDEX('🛍️ Shopping'!C:C,MATCH(2,'🛍️ Shopping'!M:M,0)),"")</f>
        <v/>
      </c>
      <c r="D30" s="39" t="str">
        <f aca="false">IFERROR(INDEX('🛍️ Shopping'!E:E,MATCH(2,'🛍️ Shopping'!M:M,0)),"")</f>
        <v/>
      </c>
    </row>
    <row r="31" customFormat="false" ht="15" hidden="false" customHeight="false" outlineLevel="0" collapsed="false">
      <c r="A31" s="39" t="str">
        <f aca="false">IFERROR(INDEX('🛍️ Shopping'!A:A,MATCH(3,'🛍️ Shopping'!M:M,0)),"")</f>
        <v/>
      </c>
      <c r="B31" s="39" t="str">
        <f aca="false">IFERROR(INDEX('🛍️ Shopping'!B:B,MATCH(3,'🛍️ Shopping'!M:M,0)),"")</f>
        <v/>
      </c>
      <c r="C31" s="39" t="str">
        <f aca="false">IFERROR(INDEX('🛍️ Shopping'!C:C,MATCH(3,'🛍️ Shopping'!M:M,0)),"")</f>
        <v/>
      </c>
      <c r="D31" s="39" t="str">
        <f aca="false">IFERROR(INDEX('🛍️ Shopping'!E:E,MATCH(3,'🛍️ Shopping'!M:M,0)),"")</f>
        <v/>
      </c>
    </row>
    <row r="32" customFormat="false" ht="15" hidden="false" customHeight="false" outlineLevel="0" collapsed="false">
      <c r="A32" s="39" t="str">
        <f aca="false">IFERROR(INDEX('🛍️ Shopping'!A:A,MATCH(4,'🛍️ Shopping'!M:M,0)),"")</f>
        <v/>
      </c>
      <c r="B32" s="39" t="str">
        <f aca="false">IFERROR(INDEX('🛍️ Shopping'!B:B,MATCH(4,'🛍️ Shopping'!M:M,0)),"")</f>
        <v/>
      </c>
      <c r="C32" s="39" t="str">
        <f aca="false">IFERROR(INDEX('🛍️ Shopping'!C:C,MATCH(4,'🛍️ Shopping'!M:M,0)),"")</f>
        <v/>
      </c>
      <c r="D32" s="39" t="str">
        <f aca="false">IFERROR(INDEX('🛍️ Shopping'!E:E,MATCH(4,'🛍️ Shopping'!M:M,0)),"")</f>
        <v/>
      </c>
    </row>
    <row r="33" customFormat="false" ht="15" hidden="false" customHeight="false" outlineLevel="0" collapsed="false">
      <c r="A33" s="39" t="str">
        <f aca="false">IFERROR(INDEX('🛍️ Shopping'!A:A,MATCH(5,'🛍️ Shopping'!M:M,0)),"")</f>
        <v/>
      </c>
      <c r="B33" s="39" t="str">
        <f aca="false">IFERROR(INDEX('🛍️ Shopping'!B:B,MATCH(5,'🛍️ Shopping'!M:M,0)),"")</f>
        <v/>
      </c>
      <c r="C33" s="39" t="str">
        <f aca="false">IFERROR(INDEX('🛍️ Shopping'!C:C,MATCH(5,'🛍️ Shopping'!M:M,0)),"")</f>
        <v/>
      </c>
      <c r="D33" s="39" t="str">
        <f aca="false">IFERROR(INDEX('🛍️ Shopping'!E:E,MATCH(5,'🛍️ Shopping'!M:M,0)),"")</f>
        <v/>
      </c>
    </row>
    <row r="34" customFormat="false" ht="15" hidden="false" customHeight="false" outlineLevel="0" collapsed="false">
      <c r="A34" s="39" t="str">
        <f aca="false">IFERROR(INDEX('🛍️ Shopping'!A:A,MATCH(6,'🛍️ Shopping'!M:M,0)),"")</f>
        <v/>
      </c>
      <c r="B34" s="39" t="str">
        <f aca="false">IFERROR(INDEX('🛍️ Shopping'!B:B,MATCH(6,'🛍️ Shopping'!M:M,0)),"")</f>
        <v/>
      </c>
      <c r="C34" s="39" t="str">
        <f aca="false">IFERROR(INDEX('🛍️ Shopping'!C:C,MATCH(6,'🛍️ Shopping'!M:M,0)),"")</f>
        <v/>
      </c>
      <c r="D34" s="39" t="str">
        <f aca="false">IFERROR(INDEX('🛍️ Shopping'!E:E,MATCH(6,'🛍️ Shopping'!M:M,0)),"")</f>
        <v/>
      </c>
    </row>
    <row r="35" customFormat="false" ht="15" hidden="false" customHeight="false" outlineLevel="0" collapsed="false">
      <c r="A35" s="39" t="str">
        <f aca="false">IFERROR(INDEX('🛍️ Shopping'!A:A,MATCH(7,'🛍️ Shopping'!M:M,0)),"")</f>
        <v/>
      </c>
      <c r="B35" s="39" t="str">
        <f aca="false">IFERROR(INDEX('🛍️ Shopping'!B:B,MATCH(7,'🛍️ Shopping'!M:M,0)),"")</f>
        <v/>
      </c>
      <c r="C35" s="39" t="str">
        <f aca="false">IFERROR(INDEX('🛍️ Shopping'!C:C,MATCH(7,'🛍️ Shopping'!M:M,0)),"")</f>
        <v/>
      </c>
      <c r="D35" s="39" t="str">
        <f aca="false">IFERROR(INDEX('🛍️ Shopping'!E:E,MATCH(7,'🛍️ Shopping'!M:M,0)),"")</f>
        <v/>
      </c>
    </row>
    <row r="36" customFormat="false" ht="15" hidden="false" customHeight="false" outlineLevel="0" collapsed="false">
      <c r="A36" s="39" t="str">
        <f aca="false">IFERROR(INDEX('🛍️ Shopping'!A:A,MATCH(8,'🛍️ Shopping'!M:M,0)),"")</f>
        <v/>
      </c>
      <c r="B36" s="39" t="str">
        <f aca="false">IFERROR(INDEX('🛍️ Shopping'!B:B,MATCH(8,'🛍️ Shopping'!M:M,0)),"")</f>
        <v/>
      </c>
      <c r="C36" s="39" t="str">
        <f aca="false">IFERROR(INDEX('🛍️ Shopping'!C:C,MATCH(8,'🛍️ Shopping'!M:M,0)),"")</f>
        <v/>
      </c>
      <c r="D36" s="39" t="str">
        <f aca="false">IFERROR(INDEX('🛍️ Shopping'!E:E,MATCH(8,'🛍️ Shopping'!M:M,0)),"")</f>
        <v/>
      </c>
    </row>
    <row r="38" customFormat="false" ht="15" hidden="false" customHeight="false" outlineLevel="0" collapsed="false">
      <c r="A38" s="37" t="s">
        <v>329</v>
      </c>
      <c r="B38" s="37"/>
      <c r="C38" s="37"/>
      <c r="D38" s="37"/>
    </row>
    <row r="39" customFormat="false" ht="21.75" hidden="false" customHeight="true" outlineLevel="0" collapsed="false">
      <c r="A39" s="42" t="s">
        <v>288</v>
      </c>
      <c r="B39" s="42" t="s">
        <v>208</v>
      </c>
      <c r="C39" s="42" t="s">
        <v>289</v>
      </c>
      <c r="D39" s="42" t="s">
        <v>212</v>
      </c>
    </row>
    <row r="40" customFormat="false" ht="15" hidden="false" customHeight="false" outlineLevel="0" collapsed="false">
      <c r="A40" s="39" t="str">
        <f aca="false">IFERROR(INDEX('✅ Tasks'!A:A,MATCH(1,'✅ Tasks'!M:M,0)),"")</f>
        <v>Finalize catering menu</v>
      </c>
      <c r="B40" s="39" t="str">
        <f aca="false">IFERROR(INDEX('✅ Tasks'!B:B,MATCH(1,'✅ Tasks'!M:M,0)),"")</f>
        <v>Catering</v>
      </c>
      <c r="C40" s="39" t="str">
        <f aca="false">IFERROR(INDEX('✅ Tasks'!C:C,MATCH(1,'✅ Tasks'!M:M,0)),"")</f>
        <v>Mother</v>
      </c>
      <c r="D40" s="39" t="str">
        <f aca="false">IFERROR(INDEX('✅ Tasks'!G:G,MATCH(1,'✅ Tasks'!M:M,0)),"")</f>
        <v>In Progress</v>
      </c>
    </row>
    <row r="41" customFormat="false" ht="15" hidden="false" customHeight="false" outlineLevel="0" collapsed="false">
      <c r="A41" s="39" t="str">
        <f aca="false">IFERROR(INDEX('✅ Tasks'!A:A,MATCH(2,'✅ Tasks'!M:M,0)),"")</f>
        <v/>
      </c>
      <c r="B41" s="39" t="str">
        <f aca="false">IFERROR(INDEX('✅ Tasks'!B:B,MATCH(2,'✅ Tasks'!M:M,0)),"")</f>
        <v/>
      </c>
      <c r="C41" s="39" t="str">
        <f aca="false">IFERROR(INDEX('✅ Tasks'!C:C,MATCH(2,'✅ Tasks'!M:M,0)),"")</f>
        <v/>
      </c>
      <c r="D41" s="39" t="str">
        <f aca="false">IFERROR(INDEX('✅ Tasks'!G:G,MATCH(2,'✅ Tasks'!M:M,0)),"")</f>
        <v/>
      </c>
    </row>
    <row r="42" customFormat="false" ht="15" hidden="false" customHeight="false" outlineLevel="0" collapsed="false">
      <c r="A42" s="39" t="str">
        <f aca="false">IFERROR(INDEX('✅ Tasks'!A:A,MATCH(3,'✅ Tasks'!M:M,0)),"")</f>
        <v/>
      </c>
      <c r="B42" s="39" t="str">
        <f aca="false">IFERROR(INDEX('✅ Tasks'!B:B,MATCH(3,'✅ Tasks'!M:M,0)),"")</f>
        <v/>
      </c>
      <c r="C42" s="39" t="str">
        <f aca="false">IFERROR(INDEX('✅ Tasks'!C:C,MATCH(3,'✅ Tasks'!M:M,0)),"")</f>
        <v/>
      </c>
      <c r="D42" s="39" t="str">
        <f aca="false">IFERROR(INDEX('✅ Tasks'!G:G,MATCH(3,'✅ Tasks'!M:M,0)),"")</f>
        <v/>
      </c>
    </row>
    <row r="43" customFormat="false" ht="15" hidden="false" customHeight="false" outlineLevel="0" collapsed="false">
      <c r="A43" s="39" t="str">
        <f aca="false">IFERROR(INDEX('✅ Tasks'!A:A,MATCH(4,'✅ Tasks'!M:M,0)),"")</f>
        <v/>
      </c>
      <c r="B43" s="39" t="str">
        <f aca="false">IFERROR(INDEX('✅ Tasks'!B:B,MATCH(4,'✅ Tasks'!M:M,0)),"")</f>
        <v/>
      </c>
      <c r="C43" s="39" t="str">
        <f aca="false">IFERROR(INDEX('✅ Tasks'!C:C,MATCH(4,'✅ Tasks'!M:M,0)),"")</f>
        <v/>
      </c>
      <c r="D43" s="39" t="str">
        <f aca="false">IFERROR(INDEX('✅ Tasks'!G:G,MATCH(4,'✅ Tasks'!M:M,0)),"")</f>
        <v/>
      </c>
    </row>
    <row r="44" customFormat="false" ht="15" hidden="false" customHeight="false" outlineLevel="0" collapsed="false">
      <c r="A44" s="39" t="str">
        <f aca="false">IFERROR(INDEX('✅ Tasks'!A:A,MATCH(5,'✅ Tasks'!M:M,0)),"")</f>
        <v/>
      </c>
      <c r="B44" s="39" t="str">
        <f aca="false">IFERROR(INDEX('✅ Tasks'!B:B,MATCH(5,'✅ Tasks'!M:M,0)),"")</f>
        <v/>
      </c>
      <c r="C44" s="39" t="str">
        <f aca="false">IFERROR(INDEX('✅ Tasks'!C:C,MATCH(5,'✅ Tasks'!M:M,0)),"")</f>
        <v/>
      </c>
      <c r="D44" s="39" t="str">
        <f aca="false">IFERROR(INDEX('✅ Tasks'!G:G,MATCH(5,'✅ Tasks'!M:M,0)),"")</f>
        <v/>
      </c>
    </row>
    <row r="45" customFormat="false" ht="15" hidden="false" customHeight="false" outlineLevel="0" collapsed="false">
      <c r="A45" s="39" t="str">
        <f aca="false">IFERROR(INDEX('✅ Tasks'!A:A,MATCH(6,'✅ Tasks'!M:M,0)),"")</f>
        <v/>
      </c>
      <c r="B45" s="39" t="str">
        <f aca="false">IFERROR(INDEX('✅ Tasks'!B:B,MATCH(6,'✅ Tasks'!M:M,0)),"")</f>
        <v/>
      </c>
      <c r="C45" s="39" t="str">
        <f aca="false">IFERROR(INDEX('✅ Tasks'!C:C,MATCH(6,'✅ Tasks'!M:M,0)),"")</f>
        <v/>
      </c>
      <c r="D45" s="39" t="str">
        <f aca="false">IFERROR(INDEX('✅ Tasks'!G:G,MATCH(6,'✅ Tasks'!M:M,0)),"")</f>
        <v/>
      </c>
    </row>
    <row r="46" customFormat="false" ht="15" hidden="false" customHeight="false" outlineLevel="0" collapsed="false">
      <c r="A46" s="39" t="str">
        <f aca="false">IFERROR(INDEX('✅ Tasks'!A:A,MATCH(7,'✅ Tasks'!M:M,0)),"")</f>
        <v/>
      </c>
      <c r="B46" s="39" t="str">
        <f aca="false">IFERROR(INDEX('✅ Tasks'!B:B,MATCH(7,'✅ Tasks'!M:M,0)),"")</f>
        <v/>
      </c>
      <c r="C46" s="39" t="str">
        <f aca="false">IFERROR(INDEX('✅ Tasks'!C:C,MATCH(7,'✅ Tasks'!M:M,0)),"")</f>
        <v/>
      </c>
      <c r="D46" s="39" t="str">
        <f aca="false">IFERROR(INDEX('✅ Tasks'!G:G,MATCH(7,'✅ Tasks'!M:M,0)),"")</f>
        <v/>
      </c>
    </row>
    <row r="47" customFormat="false" ht="15" hidden="false" customHeight="false" outlineLevel="0" collapsed="false">
      <c r="A47" s="39" t="str">
        <f aca="false">IFERROR(INDEX('✅ Tasks'!A:A,MATCH(8,'✅ Tasks'!M:M,0)),"")</f>
        <v/>
      </c>
      <c r="B47" s="39" t="str">
        <f aca="false">IFERROR(INDEX('✅ Tasks'!B:B,MATCH(8,'✅ Tasks'!M:M,0)),"")</f>
        <v/>
      </c>
      <c r="C47" s="39" t="str">
        <f aca="false">IFERROR(INDEX('✅ Tasks'!C:C,MATCH(8,'✅ Tasks'!M:M,0)),"")</f>
        <v/>
      </c>
      <c r="D47" s="39" t="str">
        <f aca="false">IFERROR(INDEX('✅ Tasks'!G:G,MATCH(8,'✅ Tasks'!M:M,0)),"")</f>
        <v/>
      </c>
    </row>
  </sheetData>
  <mergeCells count="7">
    <mergeCell ref="A1:E1"/>
    <mergeCell ref="B2:E2"/>
    <mergeCell ref="A3:E3"/>
    <mergeCell ref="A5:D5"/>
    <mergeCell ref="A16:D16"/>
    <mergeCell ref="A27:D27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2026-08-02T08:19:11Z</dcterms:created>
  <dc:creator>openpyxl</dc:creator>
  <dc:description/>
  <dc:language>en-US</dc:language>
  <cp:lastModifiedBy/>
  <dcterms:modified xsi:type="dcterms:W3CDTF">2026-08-02T08:19:22Z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